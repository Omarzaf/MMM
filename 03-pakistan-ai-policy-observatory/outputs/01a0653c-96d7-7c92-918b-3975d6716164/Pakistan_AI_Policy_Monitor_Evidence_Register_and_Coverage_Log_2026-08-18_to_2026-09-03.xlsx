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4.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xr:revisionPtr revIDLastSave="0" documentId="13_ncr:1_{B3C8D045-4553-1640-89EA-A28BB7F6E06B}" xr6:coauthVersionLast="47" xr6:coauthVersionMax="47" xr10:uidLastSave="{00000000-0000-0000-0000-000000000000}"/>
  <bookViews>
    <workbookView xWindow="0" yWindow="780" windowWidth="34200" windowHeight="20420" xr2:uid="{00000000-000D-0000-FFFF-FFFF00000000}"/>
  </bookViews>
  <sheets>
    <sheet name="Read Me" sheetId="1" r:id="rId1"/>
    <sheet name="Evidence Register" sheetId="2" r:id="rId2"/>
    <sheet name="Coverage &amp; Gaps" sheetId="3" r:id="rId3"/>
    <sheet name="Exclusions" sheetId="4" r:id="rId4"/>
    <sheet name="Briefing Units" sheetId="5" r:id="rId5"/>
    <sheet name="Sources" sheetId="6" r:id="rId6"/>
    <sheet name="Watchlist" sheetId="7" r:id="rId7"/>
    <sheet name="File Inventory" sheetId="8" r:id="rId8"/>
    <sheet name="Methodology" sheetId="9" r:id="rId9"/>
  </sheets>
  <definedNames>
    <definedName name="_xlnm.Print_Area" localSheetId="4">'Briefing Units'!$A$1:$K$18</definedName>
    <definedName name="_xlnm.Print_Area" localSheetId="2">'Coverage &amp; Gaps'!$A$1:$H$41</definedName>
    <definedName name="_xlnm.Print_Area" localSheetId="1">'Evidence Register'!$A$1:$Z$56</definedName>
    <definedName name="_xlnm.Print_Area" localSheetId="3">Exclusions!$A$1:$E$17</definedName>
    <definedName name="_xlnm.Print_Area" localSheetId="7">'File Inventory'!$A$1:$Q$17</definedName>
    <definedName name="_xlnm.Print_Area" localSheetId="8">Methodology!$A$1:$H$48</definedName>
    <definedName name="_xlnm.Print_Area" localSheetId="0">'Read Me'!$A$1:$I$45</definedName>
    <definedName name="_xlnm.Print_Area" localSheetId="5">Sources!$A$1:$J$115</definedName>
    <definedName name="_xlnm.Print_Area" localSheetId="6">Watchlist!$A$1:$F$18</definedName>
    <definedName name="_xlnm.Print_Titles" localSheetId="4">'Briefing Units'!$1:$4</definedName>
    <definedName name="_xlnm.Print_Titles" localSheetId="2">'Coverage &amp; Gaps'!$1:$2</definedName>
    <definedName name="_xlnm.Print_Titles" localSheetId="1">'Evidence Register'!$1:$4</definedName>
    <definedName name="_xlnm.Print_Titles" localSheetId="3">Exclusions!$1:$4</definedName>
    <definedName name="_xlnm.Print_Titles" localSheetId="7">'File Inventory'!$1:$4</definedName>
    <definedName name="_xlnm.Print_Titles" localSheetId="8">Methodology!$1:$2</definedName>
    <definedName name="_xlnm.Print_Titles" localSheetId="0">'Read Me'!$1:$3</definedName>
    <definedName name="_xlnm.Print_Titles" localSheetId="5">Sources!$1:$4</definedName>
    <definedName name="_xlnm.Print_Titles" localSheetId="6">Watchlist!$1:$4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3" l="1"/>
  <c r="H17" i="1" s="1"/>
  <c r="B7" i="3"/>
  <c r="B24" i="1"/>
  <c r="E24" i="1" s="1"/>
  <c r="B23" i="1"/>
  <c r="E23" i="1" s="1"/>
  <c r="B22" i="1"/>
  <c r="E22" i="1" s="1"/>
  <c r="B21" i="1"/>
  <c r="E21" i="1" s="1"/>
  <c r="B20" i="1"/>
  <c r="E20" i="1" s="1"/>
  <c r="B19" i="1"/>
  <c r="E19" i="1" s="1"/>
  <c r="B18" i="1"/>
  <c r="E18" i="1" s="1"/>
  <c r="B17" i="1"/>
  <c r="E17" i="1" s="1"/>
  <c r="B16" i="1"/>
  <c r="E16" i="1" s="1"/>
  <c r="B15" i="1"/>
  <c r="E15" i="1" s="1"/>
  <c r="H14" i="1"/>
  <c r="B14" i="1"/>
  <c r="E14" i="1" s="1"/>
  <c r="H13" i="1"/>
  <c r="B13" i="1"/>
  <c r="E13" i="1" s="1"/>
  <c r="B15" i="3" l="1"/>
  <c r="B14" i="3"/>
  <c r="B9" i="3"/>
  <c r="H16" i="1" s="1"/>
  <c r="B8" i="3"/>
  <c r="H1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Muhammad Umar Zafar</author>
  </authors>
  <commentList>
    <comment ref="B13" authorId="0" shapeId="0" xr:uid="{00000000-0006-0000-0000-000001000000}">
      <text>
        <r>
          <rPr>
            <sz val="11"/>
            <color theme="1"/>
            <rFont val="Calibri"/>
            <family val="2"/>
            <scheme val="minor"/>
          </rPr>
          <t>Counts every populated Event ID.</t>
        </r>
      </text>
    </comment>
    <comment ref="D13" authorId="0" shapeId="0" xr:uid="{00000000-0006-0000-0000-000002000000}">
      <text>
        <r>
          <rPr>
            <sz val="11"/>
            <color theme="1"/>
            <rFont val="Calibri"/>
            <family val="2"/>
            <scheme val="minor"/>
          </rPr>
          <t>Audited expected total retained as a visible control input from the reviewed dataset specification.</t>
        </r>
      </text>
    </comment>
    <comment ref="E13" authorId="0" shapeId="0" xr:uid="{00000000-0006-0000-0000-000003000000}">
      <text>
        <r>
          <rPr>
            <sz val="11"/>
            <color theme="1"/>
            <rFont val="Calibri"/>
            <family val="2"/>
            <scheme val="minor"/>
          </rPr>
          <t>Reconciles the live formula result to the audited expected total.</t>
        </r>
      </text>
    </comment>
    <comment ref="H13" authorId="0" shapeId="0" xr:uid="{00000000-0006-0000-0000-000004000000}">
      <text>
        <r>
          <rPr>
            <sz val="11"/>
            <color theme="1"/>
            <rFont val="Calibri"/>
            <family val="2"/>
            <scheme val="minor"/>
          </rPr>
          <t>Linked to the formula-driven coverage control sheet.</t>
        </r>
      </text>
    </comment>
    <comment ref="B14" authorId="0" shapeId="0" xr:uid="{00000000-0006-0000-0000-000005000000}">
      <text>
        <r>
          <rPr>
            <sz val="11"/>
            <color theme="1"/>
            <rFont val="Calibri"/>
            <family val="2"/>
            <scheme val="minor"/>
          </rPr>
          <t>Event-class records are identified by the stable EVT- prefix.</t>
        </r>
      </text>
    </comment>
    <comment ref="D14" authorId="0" shapeId="0" xr:uid="{00000000-0006-0000-0000-000006000000}">
      <text>
        <r>
          <rPr>
            <sz val="11"/>
            <color theme="1"/>
            <rFont val="Calibri"/>
            <family val="2"/>
            <scheme val="minor"/>
          </rPr>
          <t>Audited expected total retained as a visible control input from the reviewed dataset specification.</t>
        </r>
      </text>
    </comment>
    <comment ref="E14" authorId="0" shapeId="0" xr:uid="{00000000-0006-0000-0000-000007000000}">
      <text>
        <r>
          <rPr>
            <sz val="11"/>
            <color theme="1"/>
            <rFont val="Calibri"/>
            <family val="2"/>
            <scheme val="minor"/>
          </rPr>
          <t>Reconciles the live formula result to the audited expected total.</t>
        </r>
      </text>
    </comment>
    <comment ref="H14" authorId="0" shapeId="0" xr:uid="{00000000-0006-0000-0000-000008000000}">
      <text>
        <r>
          <rPr>
            <sz val="11"/>
            <color theme="1"/>
            <rFont val="Calibri"/>
            <family val="2"/>
            <scheme val="minor"/>
          </rPr>
          <t>Linked to the formula-driven coverage control sheet.</t>
        </r>
      </text>
    </comment>
    <comment ref="B15" authorId="0" shapeId="0" xr:uid="{00000000-0006-0000-0000-000009000000}">
      <text>
        <r>
          <rPr>
            <sz val="11"/>
            <color theme="1"/>
            <rFont val="Calibri"/>
            <family val="2"/>
            <scheme val="minor"/>
          </rPr>
          <t>Baseline records are identified by the stable BASE- prefix.</t>
        </r>
      </text>
    </comment>
    <comment ref="D15" authorId="0" shapeId="0" xr:uid="{00000000-0006-0000-0000-00000A000000}">
      <text>
        <r>
          <rPr>
            <sz val="11"/>
            <color theme="1"/>
            <rFont val="Calibri"/>
            <family val="2"/>
            <scheme val="minor"/>
          </rPr>
          <t>Audited expected total retained as a visible control input from the reviewed dataset specification.</t>
        </r>
      </text>
    </comment>
    <comment ref="E15" authorId="0" shapeId="0" xr:uid="{00000000-0006-0000-0000-00000B000000}">
      <text>
        <r>
          <rPr>
            <sz val="11"/>
            <color theme="1"/>
            <rFont val="Calibri"/>
            <family val="2"/>
            <scheme val="minor"/>
          </rPr>
          <t>Reconciles the live formula result to the audited expected total.</t>
        </r>
      </text>
    </comment>
    <comment ref="H15" authorId="0" shapeId="0" xr:uid="{00000000-0006-0000-0000-00000C000000}">
      <text>
        <r>
          <rPr>
            <sz val="11"/>
            <color theme="1"/>
            <rFont val="Calibri"/>
            <family val="2"/>
            <scheme val="minor"/>
          </rPr>
          <t>Linked to the formula-driven coverage control sheet.</t>
        </r>
      </text>
    </comment>
    <comment ref="B16" authorId="0" shapeId="0" xr:uid="{00000000-0006-0000-0000-00000D000000}">
      <text>
        <r>
          <rPr>
            <sz val="11"/>
            <color theme="1"/>
            <rFont val="Calibri"/>
            <family val="2"/>
            <scheme val="minor"/>
          </rPr>
          <t>Counts baseline IDs whose lifecycle is BASELINE_CARRY_IN.</t>
        </r>
      </text>
    </comment>
    <comment ref="D16" authorId="0" shapeId="0" xr:uid="{00000000-0006-0000-0000-00000E000000}">
      <text>
        <r>
          <rPr>
            <sz val="11"/>
            <color theme="1"/>
            <rFont val="Calibri"/>
            <family val="2"/>
            <scheme val="minor"/>
          </rPr>
          <t>Audited expected total retained as a visible control input from the reviewed dataset specification.</t>
        </r>
      </text>
    </comment>
    <comment ref="E16" authorId="0" shapeId="0" xr:uid="{00000000-0006-0000-0000-00000F000000}">
      <text>
        <r>
          <rPr>
            <sz val="11"/>
            <color theme="1"/>
            <rFont val="Calibri"/>
            <family val="2"/>
            <scheme val="minor"/>
          </rPr>
          <t>Reconciles the live formula result to the audited expected total.</t>
        </r>
      </text>
    </comment>
    <comment ref="H16" authorId="0" shapeId="0" xr:uid="{00000000-0006-0000-0000-000010000000}">
      <text>
        <r>
          <rPr>
            <sz val="11"/>
            <color theme="1"/>
            <rFont val="Calibri"/>
            <family val="2"/>
            <scheme val="minor"/>
          </rPr>
          <t>Linked to the formula-driven coverage control sheet.</t>
        </r>
      </text>
    </comment>
    <comment ref="B17" authorId="0" shapeId="0" xr:uid="{00000000-0006-0000-0000-000011000000}">
      <text>
        <r>
          <rPr>
            <sz val="11"/>
            <color theme="1"/>
            <rFont val="Calibri"/>
            <family val="2"/>
            <scheme val="minor"/>
          </rPr>
          <t>Counts disputed baseline IDs separately from the one disputed in-period event.</t>
        </r>
      </text>
    </comment>
    <comment ref="D17" authorId="0" shapeId="0" xr:uid="{00000000-0006-0000-0000-000012000000}">
      <text>
        <r>
          <rPr>
            <sz val="11"/>
            <color theme="1"/>
            <rFont val="Calibri"/>
            <family val="2"/>
            <scheme val="minor"/>
          </rPr>
          <t>Audited expected total retained as a visible control input from the reviewed dataset specification.</t>
        </r>
      </text>
    </comment>
    <comment ref="E17" authorId="0" shapeId="0" xr:uid="{00000000-0006-0000-0000-000013000000}">
      <text>
        <r>
          <rPr>
            <sz val="11"/>
            <color theme="1"/>
            <rFont val="Calibri"/>
            <family val="2"/>
            <scheme val="minor"/>
          </rPr>
          <t>Reconciles the live formula result to the audited expected total.</t>
        </r>
      </text>
    </comment>
    <comment ref="H17" authorId="0" shapeId="0" xr:uid="{00000000-0006-0000-0000-000014000000}">
      <text>
        <r>
          <rPr>
            <sz val="11"/>
            <color theme="1"/>
            <rFont val="Calibri"/>
            <family val="2"/>
            <scheme val="minor"/>
          </rPr>
          <t>Linked to the formula-driven coverage control sheet.</t>
        </r>
      </text>
    </comment>
    <comment ref="B18" authorId="0" shapeId="0" xr:uid="{00000000-0006-0000-0000-000015000000}">
      <text>
        <r>
          <rPr>
            <sz val="11"/>
            <color theme="1"/>
            <rFont val="Calibri"/>
            <family val="2"/>
            <scheme val="minor"/>
          </rPr>
          <t>Counts source IDs S001–S111.</t>
        </r>
      </text>
    </comment>
    <comment ref="D18" authorId="0" shapeId="0" xr:uid="{00000000-0006-0000-0000-000016000000}">
      <text>
        <r>
          <rPr>
            <sz val="11"/>
            <color theme="1"/>
            <rFont val="Calibri"/>
            <family val="2"/>
            <scheme val="minor"/>
          </rPr>
          <t>Audited expected total retained as a visible control input from the reviewed dataset specification.</t>
        </r>
      </text>
    </comment>
    <comment ref="E18" authorId="0" shapeId="0" xr:uid="{00000000-0006-0000-0000-000017000000}">
      <text>
        <r>
          <rPr>
            <sz val="11"/>
            <color theme="1"/>
            <rFont val="Calibri"/>
            <family val="2"/>
            <scheme val="minor"/>
          </rPr>
          <t>Reconciles the live formula result to the audited expected total.</t>
        </r>
      </text>
    </comment>
    <comment ref="B19" authorId="0" shapeId="0" xr:uid="{00000000-0006-0000-0000-000018000000}">
      <text>
        <r>
          <rPr>
            <sz val="11"/>
            <color theme="1"/>
            <rFont val="Calibri"/>
            <family val="2"/>
            <scheme val="minor"/>
          </rPr>
          <t>Counts normalized briefing IDs B001–B014.</t>
        </r>
      </text>
    </comment>
    <comment ref="D19" authorId="0" shapeId="0" xr:uid="{00000000-0006-0000-0000-000019000000}">
      <text>
        <r>
          <rPr>
            <sz val="11"/>
            <color theme="1"/>
            <rFont val="Calibri"/>
            <family val="2"/>
            <scheme val="minor"/>
          </rPr>
          <t>Audited expected total retained as a visible control input from the reviewed dataset specification.</t>
        </r>
      </text>
    </comment>
    <comment ref="E19" authorId="0" shapeId="0" xr:uid="{00000000-0006-0000-0000-00001A000000}">
      <text>
        <r>
          <rPr>
            <sz val="11"/>
            <color theme="1"/>
            <rFont val="Calibri"/>
            <family val="2"/>
            <scheme val="minor"/>
          </rPr>
          <t>Reconciles the live formula result to the audited expected total.</t>
        </r>
      </text>
    </comment>
    <comment ref="B20" authorId="0" shapeId="0" xr:uid="{00000000-0006-0000-0000-00001B000000}">
      <text>
        <r>
          <rPr>
            <sz val="11"/>
            <color theme="1"/>
            <rFont val="Calibri"/>
            <family val="2"/>
            <scheme val="minor"/>
          </rPr>
          <t>Counts every documented exclusion decision.</t>
        </r>
      </text>
    </comment>
    <comment ref="D20" authorId="0" shapeId="0" xr:uid="{00000000-0006-0000-0000-00001C000000}">
      <text>
        <r>
          <rPr>
            <sz val="11"/>
            <color theme="1"/>
            <rFont val="Calibri"/>
            <family val="2"/>
            <scheme val="minor"/>
          </rPr>
          <t>Audited expected total retained as a visible control input from the reviewed dataset specification.</t>
        </r>
      </text>
    </comment>
    <comment ref="E20" authorId="0" shapeId="0" xr:uid="{00000000-0006-0000-0000-00001D000000}">
      <text>
        <r>
          <rPr>
            <sz val="11"/>
            <color theme="1"/>
            <rFont val="Calibri"/>
            <family val="2"/>
            <scheme val="minor"/>
          </rPr>
          <t>Reconciles the live formula result to the audited expected total.</t>
        </r>
      </text>
    </comment>
    <comment ref="B21" authorId="0" shapeId="0" xr:uid="{00000000-0006-0000-0000-00001E000000}">
      <text>
        <r>
          <rPr>
            <sz val="11"/>
            <color theme="1"/>
            <rFont val="Calibri"/>
            <family val="2"/>
            <scheme val="minor"/>
          </rPr>
          <t>Counts every future verification trigger.</t>
        </r>
      </text>
    </comment>
    <comment ref="D21" authorId="0" shapeId="0" xr:uid="{00000000-0006-0000-0000-00001F000000}">
      <text>
        <r>
          <rPr>
            <sz val="11"/>
            <color theme="1"/>
            <rFont val="Calibri"/>
            <family val="2"/>
            <scheme val="minor"/>
          </rPr>
          <t>Audited expected total retained as a visible control input from the reviewed dataset specification.</t>
        </r>
      </text>
    </comment>
    <comment ref="E21" authorId="0" shapeId="0" xr:uid="{00000000-0006-0000-0000-000020000000}">
      <text>
        <r>
          <rPr>
            <sz val="11"/>
            <color theme="1"/>
            <rFont val="Calibri"/>
            <family val="2"/>
            <scheme val="minor"/>
          </rPr>
          <t>Reconciles the live formula result to the audited expected total.</t>
        </r>
      </text>
    </comment>
    <comment ref="B22" authorId="0" shapeId="0" xr:uid="{00000000-0006-0000-0000-000021000000}">
      <text>
        <r>
          <rPr>
            <sz val="11"/>
            <color theme="1"/>
            <rFont val="Calibri"/>
            <family val="2"/>
            <scheme val="minor"/>
          </rPr>
          <t>Confidence is controlled by the audited Confidence field.</t>
        </r>
      </text>
    </comment>
    <comment ref="D22" authorId="0" shapeId="0" xr:uid="{00000000-0006-0000-0000-000022000000}">
      <text>
        <r>
          <rPr>
            <sz val="11"/>
            <color theme="1"/>
            <rFont val="Calibri"/>
            <family val="2"/>
            <scheme val="minor"/>
          </rPr>
          <t>Audited expected total retained as a visible control input from the reviewed dataset specification.</t>
        </r>
      </text>
    </comment>
    <comment ref="E22" authorId="0" shapeId="0" xr:uid="{00000000-0006-0000-0000-000023000000}">
      <text>
        <r>
          <rPr>
            <sz val="11"/>
            <color theme="1"/>
            <rFont val="Calibri"/>
            <family val="2"/>
            <scheme val="minor"/>
          </rPr>
          <t>Reconciles the live formula result to the audited expected total.</t>
        </r>
      </text>
    </comment>
    <comment ref="B23" authorId="0" shapeId="0" xr:uid="{00000000-0006-0000-0000-000024000000}">
      <text>
        <r>
          <rPr>
            <sz val="11"/>
            <color theme="1"/>
            <rFont val="Calibri"/>
            <family val="2"/>
            <scheme val="minor"/>
          </rPr>
          <t>Confidence is controlled by the audited Confidence field.</t>
        </r>
      </text>
    </comment>
    <comment ref="D23" authorId="0" shapeId="0" xr:uid="{00000000-0006-0000-0000-000025000000}">
      <text>
        <r>
          <rPr>
            <sz val="11"/>
            <color theme="1"/>
            <rFont val="Calibri"/>
            <family val="2"/>
            <scheme val="minor"/>
          </rPr>
          <t>Audited expected total retained as a visible control input from the reviewed dataset specification.</t>
        </r>
      </text>
    </comment>
    <comment ref="E23" authorId="0" shapeId="0" xr:uid="{00000000-0006-0000-0000-000026000000}">
      <text>
        <r>
          <rPr>
            <sz val="11"/>
            <color theme="1"/>
            <rFont val="Calibri"/>
            <family val="2"/>
            <scheme val="minor"/>
          </rPr>
          <t>Reconciles the live formula result to the audited expected total.</t>
        </r>
      </text>
    </comment>
    <comment ref="B24" authorId="0" shapeId="0" xr:uid="{00000000-0006-0000-0000-000027000000}">
      <text>
        <r>
          <rPr>
            <sz val="11"/>
            <color theme="1"/>
            <rFont val="Calibri"/>
            <family val="2"/>
            <scheme val="minor"/>
          </rPr>
          <t>Confidence is controlled by the audited Confidence field.</t>
        </r>
      </text>
    </comment>
    <comment ref="D24" authorId="0" shapeId="0" xr:uid="{00000000-0006-0000-0000-000028000000}">
      <text>
        <r>
          <rPr>
            <sz val="11"/>
            <color theme="1"/>
            <rFont val="Calibri"/>
            <family val="2"/>
            <scheme val="minor"/>
          </rPr>
          <t>Audited expected total retained as a visible control input from the reviewed dataset specification.</t>
        </r>
      </text>
    </comment>
    <comment ref="E24" authorId="0" shapeId="0" xr:uid="{00000000-0006-0000-0000-000029000000}">
      <text>
        <r>
          <rPr>
            <sz val="11"/>
            <color theme="1"/>
            <rFont val="Calibri"/>
            <family val="2"/>
            <scheme val="minor"/>
          </rPr>
          <t>Reconciles the live formula result to the audited expected total.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Muhammad Umar Zafar</author>
  </authors>
  <commentList>
    <comment ref="G23" authorId="0" shapeId="0" xr:uid="{00000000-0006-0000-0100-000001000000}">
      <text>
        <r>
          <rPr>
            <sz val="11"/>
            <color theme="1"/>
            <rFont val="Calibri"/>
            <family val="2"/>
            <scheme val="minor"/>
          </rPr>
          <t>Captured briefing B006 says 24 August 2026; current mutable UNGM page displays 28 August 2026. Both versions are retained.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Muhammad Umar Zafar</author>
  </authors>
  <commentList>
    <comment ref="B6" authorId="0" shapeId="0" xr:uid="{00000000-0006-0000-0200-000001000000}">
      <text>
        <r>
          <rPr>
            <sz val="11"/>
            <color theme="1"/>
            <rFont val="Calibri"/>
            <family val="2"/>
            <scheme val="minor"/>
          </rPr>
          <t>Audited source input from intermediate/audit_summary.json.</t>
        </r>
      </text>
    </comment>
    <comment ref="B7" authorId="0" shapeId="0" xr:uid="{00000000-0006-0000-0200-000002000000}">
      <text>
        <r>
          <rPr>
            <sz val="11"/>
            <color theme="1"/>
            <rFont val="Calibri"/>
            <family val="2"/>
            <scheme val="minor"/>
          </rPr>
          <t>Auditable formula over workbook cells. Excel recalculates on open.</t>
        </r>
      </text>
    </comment>
    <comment ref="B8" authorId="0" shapeId="0" xr:uid="{00000000-0006-0000-0200-000003000000}">
      <text>
        <r>
          <rPr>
            <sz val="11"/>
            <color theme="1"/>
            <rFont val="Calibri"/>
            <family val="2"/>
            <scheme val="minor"/>
          </rPr>
          <t>Auditable formula over workbook cells. Excel recalculates on open.</t>
        </r>
      </text>
    </comment>
    <comment ref="B9" authorId="0" shapeId="0" xr:uid="{00000000-0006-0000-0200-000004000000}">
      <text>
        <r>
          <rPr>
            <sz val="11"/>
            <color theme="1"/>
            <rFont val="Calibri"/>
            <family val="2"/>
            <scheme val="minor"/>
          </rPr>
          <t>Auditable formula over workbook cells. Excel recalculates on open.</t>
        </r>
      </text>
    </comment>
    <comment ref="B10" authorId="0" shapeId="0" xr:uid="{00000000-0006-0000-0200-000005000000}">
      <text>
        <r>
          <rPr>
            <sz val="11"/>
            <color theme="1"/>
            <rFont val="Calibri"/>
            <family val="2"/>
            <scheme val="minor"/>
          </rPr>
          <t>Audited source input from intermediate/audit_summary.json.</t>
        </r>
      </text>
    </comment>
    <comment ref="B11" authorId="0" shapeId="0" xr:uid="{00000000-0006-0000-0200-000006000000}">
      <text>
        <r>
          <rPr>
            <sz val="11"/>
            <color theme="1"/>
            <rFont val="Calibri"/>
            <family val="2"/>
            <scheme val="minor"/>
          </rPr>
          <t>Audited source input from intermediate/audit_summary.json.</t>
        </r>
      </text>
    </comment>
    <comment ref="B12" authorId="0" shapeId="0" xr:uid="{00000000-0006-0000-0200-000007000000}">
      <text>
        <r>
          <rPr>
            <sz val="11"/>
            <color theme="1"/>
            <rFont val="Calibri"/>
            <family val="2"/>
            <scheme val="minor"/>
          </rPr>
          <t>Auditable formula over workbook cells. Excel recalculates on open.</t>
        </r>
      </text>
    </comment>
    <comment ref="B13" authorId="0" shapeId="0" xr:uid="{00000000-0006-0000-0200-000008000000}">
      <text>
        <r>
          <rPr>
            <sz val="11"/>
            <color theme="1"/>
            <rFont val="Calibri"/>
            <family val="2"/>
            <scheme val="minor"/>
          </rPr>
          <t>Audited source input from intermediate/audit_summary.json.</t>
        </r>
      </text>
    </comment>
    <comment ref="B14" authorId="0" shapeId="0" xr:uid="{00000000-0006-0000-0200-000009000000}">
      <text>
        <r>
          <rPr>
            <sz val="11"/>
            <color theme="1"/>
            <rFont val="Calibri"/>
            <family val="2"/>
            <scheme val="minor"/>
          </rPr>
          <t>Auditable formula over workbook cells. Excel recalculates on open.</t>
        </r>
      </text>
    </comment>
    <comment ref="B15" authorId="0" shapeId="0" xr:uid="{00000000-0006-0000-0200-00000A000000}">
      <text>
        <r>
          <rPr>
            <sz val="11"/>
            <color theme="1"/>
            <rFont val="Calibri"/>
            <family val="2"/>
            <scheme val="minor"/>
          </rPr>
          <t>Auditable formula over workbook cells. Excel recalculates on open.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Muhammad Umar Zafar</author>
  </authors>
  <commentList>
    <comment ref="F51" authorId="0" shapeId="0" xr:uid="{00000000-0006-0000-0500-000001000000}">
      <text>
        <r>
          <rPr>
            <sz val="11"/>
            <color theme="1"/>
            <rFont val="Calibri"/>
            <family val="2"/>
            <scheme val="minor"/>
          </rPr>
          <t>The live UNGM page is mutable. This workbook preserves the earlier B006 capture and the currently displayed date without choosing one as silently authoritative.</t>
        </r>
      </text>
    </comment>
  </commentList>
</comments>
</file>

<file path=xl/sharedStrings.xml><?xml version="1.0" encoding="utf-8"?>
<sst xmlns="http://schemas.openxmlformats.org/spreadsheetml/2006/main" count="2721" uniqueCount="1799">
  <si>
    <t>Pakistan AI Policy Monitor</t>
  </si>
  <si>
    <t>Evidence Register and Coverage Log | 18 August–3 September 2026 (UTC)</t>
  </si>
  <si>
    <t>Search cutoff: 2026-09-03 04:15 UTC | Evidence and lifecycle status should be rechecked before any later reuse.</t>
  </si>
  <si>
    <t>Interpretation boundary</t>
  </si>
  <si>
    <t>Comprehensive with respect to the supplied files and documented verification searches; not proof that every relevant public event was captured.</t>
  </si>
  <si>
    <t>Temporal caveat — The supplied corpus contains 14 briefing units against a nominal 1,440 runs for exactly 15 days at a 15-minute cadence. Negative findings are therefore bounded to the supplied files and documented searches; missing intervals are never imputed.</t>
  </si>
  <si>
    <t>Formula-driven control totals</t>
  </si>
  <si>
    <t>Coverage controls</t>
  </si>
  <si>
    <t>Control</t>
  </si>
  <si>
    <t>Live value</t>
  </si>
  <si>
    <t>Unit</t>
  </si>
  <si>
    <t>Expected</t>
  </si>
  <si>
    <t>Reconciliation</t>
  </si>
  <si>
    <t>Metric</t>
  </si>
  <si>
    <t>Interpretation</t>
  </si>
  <si>
    <t>Evidence register rows</t>
  </si>
  <si>
    <t>records</t>
  </si>
  <si>
    <t>Nominal expected runs</t>
  </si>
  <si>
    <t>Exactly 15 days × 24 hours × 4 runs/hour</t>
  </si>
  <si>
    <t>In-period / verification-discovered</t>
  </si>
  <si>
    <t>Observed briefing units</t>
  </si>
  <si>
    <t>Normalized supplied briefing units</t>
  </si>
  <si>
    <t>Baseline / context</t>
  </si>
  <si>
    <t>Nominal missing runs</t>
  </si>
  <si>
    <t>Expected minus observed</t>
  </si>
  <si>
    <t>Baseline carry-in</t>
  </si>
  <si>
    <t>Observed share</t>
  </si>
  <si>
    <t>Observed divided by nominal expected</t>
  </si>
  <si>
    <t>Baseline contradicted / unresolved</t>
  </si>
  <si>
    <t>Strict-window share</t>
  </si>
  <si>
    <t>Strict observed minutes divided by observed span</t>
  </si>
  <si>
    <t>Sources</t>
  </si>
  <si>
    <t>Search cutoff</t>
  </si>
  <si>
    <t>2026-09-03T04:15:00Z</t>
  </si>
  <si>
    <t>Current-source verification boundary</t>
  </si>
  <si>
    <t>Briefing units</t>
  </si>
  <si>
    <t>units</t>
  </si>
  <si>
    <t>Exclusions</t>
  </si>
  <si>
    <t>items</t>
  </si>
  <si>
    <t>Watch items</t>
  </si>
  <si>
    <t>High confidence</t>
  </si>
  <si>
    <t>Medium confidence</t>
  </si>
  <si>
    <t>Low confidence</t>
  </si>
  <si>
    <t>Evidence model and source hierarchy</t>
  </si>
  <si>
    <t>Layer</t>
  </si>
  <si>
    <t>Rule</t>
  </si>
  <si>
    <t>Why it matters</t>
  </si>
  <si>
    <t>Priority</t>
  </si>
  <si>
    <t>Source class</t>
  </si>
  <si>
    <t>Use</t>
  </si>
  <si>
    <t>Verified facts</t>
  </si>
  <si>
    <t>State only what an accessible record directly supports.</t>
  </si>
  <si>
    <t>Prevents announcement language from becoming implementation evidence.</t>
  </si>
  <si>
    <t>Primary law, gazette, regulator, procurement register</t>
  </si>
  <si>
    <t>Lifecycle and operative-text conclusions</t>
  </si>
  <si>
    <t>Source claims</t>
  </si>
  <si>
    <t>Attribute unverified operational, scale, or outcome claims.</t>
  </si>
  <si>
    <t>Preserves what institutions said without adopting it as fact.</t>
  </si>
  <si>
    <t>Official ministry, authority, institution, company</t>
  </si>
  <si>
    <t>Event facts and attributed claims</t>
  </si>
  <si>
    <t>Separate analytical synthesis from sourced fact.</t>
  </si>
  <si>
    <t>Makes reasoning auditable and contestable.</t>
  </si>
  <si>
    <t>Independent reporting</t>
  </si>
  <si>
    <t>Corroboration, context, and contested details</t>
  </si>
  <si>
    <t>Forward implications</t>
  </si>
  <si>
    <t>Express future-facing consequences as bounded scenarios.</t>
  </si>
  <si>
    <t>Avoids converting plausible pathways into forecasts.</t>
  </si>
  <si>
    <t>Briefing corpus</t>
  </si>
  <si>
    <t>Discovery provenance only; never independent corroboration</t>
  </si>
  <si>
    <t>Lifecycle</t>
  </si>
  <si>
    <t>Classify proposal, consultation, approval, award, signing, delivery, and operation separately.</t>
  </si>
  <si>
    <t>Prevents stage inflation.</t>
  </si>
  <si>
    <t>Conflict</t>
  </si>
  <si>
    <t>Retain both dated versions and identify mutable-source limits.</t>
  </si>
  <si>
    <t>Preserves the WHO 24-Aug capture versus 28-Aug live-page discrepancy.</t>
  </si>
  <si>
    <t>Workbook navigation</t>
  </si>
  <si>
    <t>Evidence Register</t>
  </si>
  <si>
    <t>52 distinct event/baseline records with lifecycle, confidence, facts, claims, analysis, implications, and source URLs.</t>
  </si>
  <si>
    <t>Coverage &amp; Gaps</t>
  </si>
  <si>
    <t>Cadence controls, normalized observed span, and all 13 inter-briefing gaps.</t>
  </si>
  <si>
    <t>Every out-of-scope, duplicate, or unsupported item and its disposition.</t>
  </si>
  <si>
    <t>Briefing Units</t>
  </si>
  <si>
    <t>B001–B014 source provenance, normalized UTC/PKT windows, timing issues, and SHA-256 hashes.</t>
  </si>
  <si>
    <t>S001–S111 source register with plain-text URLs and limitations.</t>
  </si>
  <si>
    <t>Watchlist</t>
  </si>
  <si>
    <t>W001–W014 future triggers and verification tasks.</t>
  </si>
  <si>
    <t>File Inventory</t>
  </si>
  <si>
    <t>All 13 received top-level files, readability, metadata, hashes, and inclusion decisions.</t>
  </si>
  <si>
    <t>Methodology</t>
  </si>
  <si>
    <t>Reproducibility chain, source hierarchy, lifecycle rules, confidence rubric, and refresh protocol.</t>
  </si>
  <si>
    <t>One row per distinct event or retained baseline/context record. Facts, claims, analysis, implications, uncertainty, and lifecycle remain separate.</t>
  </si>
  <si>
    <t>Event ID</t>
  </si>
  <si>
    <t>Normalized Event Title</t>
  </si>
  <si>
    <t>Category</t>
  </si>
  <si>
    <t>Institution</t>
  </si>
  <si>
    <t>Geography</t>
  </si>
  <si>
    <t>Event Date</t>
  </si>
  <si>
    <t>Publication Date</t>
  </si>
  <si>
    <t>First Detected</t>
  </si>
  <si>
    <t>Last Updated</t>
  </si>
  <si>
    <t>Briefing File References</t>
  </si>
  <si>
    <t>Primary Source IDs</t>
  </si>
  <si>
    <t>Primary Source URLs</t>
  </si>
  <si>
    <t>Corroborating Source IDs</t>
  </si>
  <si>
    <t>Corroborating Source URLs</t>
  </si>
  <si>
    <t>Status</t>
  </si>
  <si>
    <t>Verified Facts</t>
  </si>
  <si>
    <t>Source Claims</t>
  </si>
  <si>
    <t>What Changed</t>
  </si>
  <si>
    <t>Significance</t>
  </si>
  <si>
    <t>Analytical Interpretation</t>
  </si>
  <si>
    <t>Forward Implications</t>
  </si>
  <si>
    <t>Confidence</t>
  </si>
  <si>
    <t>Confidence Reason</t>
  </si>
  <si>
    <t>Unresolved Issues</t>
  </si>
  <si>
    <t>Inclusion Decision</t>
  </si>
  <si>
    <t>EVT-GOOG-20260818-OFFICE</t>
  </si>
  <si>
    <t>Google Pakistan office inauguration claim</t>
  </si>
  <si>
    <t>GOOGLE_CORPORATE_PRESENCE</t>
  </si>
  <si>
    <t>Google; Government of Pakistan</t>
  </si>
  <si>
    <t>Islamabad / national</t>
  </si>
  <si>
    <t>2026-08-18; retrospective PDA item 2026-09-01</t>
  </si>
  <si>
    <t>2026-08-18T19:38Z (B001)</t>
  </si>
  <si>
    <t>2026-09-03T02:21Z (B014)</t>
  </si>
  <si>
    <t>B001; B002; B003; B004; B005; B006; B007; B008; B009; B010; B011; B012; B013; B014</t>
  </si>
  <si>
    <t>S074; S075; S081; S082; S083</t>
  </si>
  <si>
    <t>https://pid.gov.pk/site/press_detail/33638 | https://pda.gov.pk/press-details.php?id=google-opens-office-in-pakistan | https://about.google/company-info/locations/ | https://cloud.google.com/about/locations | https://datacenters.google/locations/</t>
  </si>
  <si>
    <t>S076; S084</t>
  </si>
  <si>
    <t>https://www.dawn.com/news/2023681 | https://www.google.com/about/careers/applications/jobs/results?location=Pakistan</t>
  </si>
  <si>
    <t>government/company-reported inauguration; physical operation unverified</t>
  </si>
  <si>
    <t>A plaque-marking ceremony involving the prime minister and a Google delegation occurred at Prime Minister House on 18 August. Google’s current canonical office, Cloud-region and owned-data-centre directories showed no Pakistan listing at the verification cutoff.</t>
  </si>
  <si>
    <t>Pakistani authorities and contemporaneous reporting called the event the opening or establishment of Google’s first local office.</t>
  </si>
  <si>
    <t>The reporting period added a high-level ceremony and public local-office claim, but later checks did not supply premises-level evidence.</t>
  </si>
  <si>
    <t>The distinction affects how investors, regulators and users should understand local accountability, staffing, tax presence, and data-hosting implications.</t>
  </si>
  <si>
    <t>Evidence supports an announced/local corporate presence, not a confidently verified staffed operational office at a disclosed physical location.</t>
  </si>
  <si>
    <t>Verify street address, premises operator, occupancy, employing entity, staff, mandate and any local processing/hosting before upgrading status.</t>
  </si>
  <si>
    <t>Medium</t>
  </si>
  <si>
    <t>High confidence in the ceremony and directory state; insufficient evidence for physical operation, location and timing of an operating office.</t>
  </si>
  <si>
    <t>Physical address; office type; occupancy; headcount; employing entity; mandate; investment; data processing; hosting jurisdiction.</t>
  </si>
  <si>
    <t>include with explicit qualification</t>
  </si>
  <si>
    <t>IN_SPAN_DEVELOPMENT</t>
  </si>
  <si>
    <t>EVT-GOOG-20260821-MOU</t>
  </si>
  <si>
    <t>Government of Pakistan–Google framework MoU and programme announcements</t>
  </si>
  <si>
    <t>FUNDING_INVESTMENT_PARTNERSHIP</t>
  </si>
  <si>
    <t>Google; MoITT; Government of Pakistan</t>
  </si>
  <si>
    <t>2026-08-21 and 2026-08-24</t>
  </si>
  <si>
    <t>2026-08-21T15:05Z (B003)</t>
  </si>
  <si>
    <t>B003; B005; B006; B010; B014</t>
  </si>
  <si>
    <t>S077</t>
  </si>
  <si>
    <t>https://pid.gov.pk/site/press_detail/33684</t>
  </si>
  <si>
    <t>S078; S079</t>
  </si>
  <si>
    <t>https://www.moib.gov.pk/News/66341 | https://pid.gov.pk/site/press_detail/33645</t>
  </si>
  <si>
    <t>signed/announced framework MoU; delivery not evidenced</t>
  </si>
  <si>
    <t>PID records a framework MoU dated 21 August and programme targets including 150,000 Career Certificates in 2026 and exploration of one-year student access to Google AI Plus/Gemini and NotebookLM, an Islamabad AI centre, and FBR support.</t>
  </si>
  <si>
    <t>Government releases report earlier programme outputs and prospective skills, education, SME, agriculture, payments, app and gaming initiatives.</t>
  </si>
  <si>
    <t>A cooperation framework and numeric training target entered the record; no budget release, beneficiary completion, centre opening or system acceptance was found.</t>
  </si>
  <si>
    <t>The package could shape workforce supply and public-sector vendor relationships, but implementation terms determine actual value and data-governance exposure.</t>
  </si>
  <si>
    <t>This is a programme-intent milestone, not realized investment or delivered capacity.</t>
  </si>
  <si>
    <t>Seek the signed instrument, workplan, budgets, selection rules, data flows, hosting terms and output audits.</t>
  </si>
  <si>
    <t>Strong official evidence of the announcement; primary instrument and delivery evidence unavailable.</t>
  </si>
  <si>
    <t>Signed text; budget; beneficiary selection; centre site/operator/timeline; data flows; local hosting; independent outcome audit.</t>
  </si>
  <si>
    <t>include</t>
  </si>
  <si>
    <t>EVT-REG-20260821-PVARA</t>
  </si>
  <si>
    <t>PVARA virtual-asset service regulations notified</t>
  </si>
  <si>
    <t>DATA_PROTECTION_GOVERNANCE</t>
  </si>
  <si>
    <t>Pakistan Virtual Assets Regulatory Authority</t>
  </si>
  <si>
    <t>Federal / Pakistan</t>
  </si>
  <si>
    <t>2026-08-22T15:05Z (B004)</t>
  </si>
  <si>
    <t>2026-08-31T14:55Z (B012)</t>
  </si>
  <si>
    <t>B004; B005; B006; B007; B008; B011; B012</t>
  </si>
  <si>
    <t>S018; S019; S020</t>
  </si>
  <si>
    <t>https://pvara.gov.pk/documents/Pakistan%20Virtual%20Asset%20Services%20Regulations,%202026%20-%20Notified%2021%20August%202026.pdf | https://pvara.gov.pk/documents/Pakistan%20Virtual%20Asset%20Services%20Activity%20Specific%20Regulations,%202026%20-%20Notified%2021%20August%202026.pdf | https://pvara.gov.pk/licensing</t>
  </si>
  <si>
    <t>S017; S021</t>
  </si>
  <si>
    <t>https://pvara.gov.pk/regulations | https://radio.gov.pk/22-08-2026/pakistan-introduces-transparent-regulatory-system-for-digital-economy</t>
  </si>
  <si>
    <t>notified and effective regulations</t>
  </si>
  <si>
    <t>S.R.O. 1419(I)/2026 and S.R.O. 1420(I)/2026 were notified on 21 August and SRO 1419 states commencement on Gazette notification unless a later date is specified. Verified duties include technology/cyber controls, cloud and cross-border safeguards, incident reporting and personal-data programmes. General and activity-specific records are retained at least seven years; material cyber/BCDR notice is due within 24 hours, an interim update within five working days, final report within 30 calendar days, and personal-data incident notice within 72 hours.</t>
  </si>
  <si>
    <t>The summary page states a minimum ten-year record-keeping rule, but the operative regulations use seven years generally; ten years applies in a narrower unclaimed-wallet/assets context.</t>
  </si>
  <si>
    <t>The framework moved from enabling legislation/guidance to two operative sector regulations.</t>
  </si>
  <si>
    <t>VASPs now face concrete licensing, governance, cloud, cyber, algorithm and personal-data obligations with reportable deadlines.</t>
  </si>
  <si>
    <t>This was the clearest binding digital-regulatory development in the supplied monitoring span.</t>
  </si>
  <si>
    <t>Track transitional applications, licensing decisions, supervisory guidance, enforcement and cloud/cross-border implementation.</t>
  </si>
  <si>
    <t>High</t>
  </si>
  <si>
    <t>Operative Gazette texts were opened and checked directly.</t>
  </si>
  <si>
    <t>First licences/NOCs; enforcement; treatment of specific cloud architectures; publication of reasoned decisions.</t>
  </si>
  <si>
    <t>EVT-CYB-20260824-PKCERT16</t>
  </si>
  <si>
    <t>PKCERT publishes Advisory 16 on synchronized passkeys</t>
  </si>
  <si>
    <t>CYBERSECURITY</t>
  </si>
  <si>
    <t>PKCERT</t>
  </si>
  <si>
    <t>2026-08-24 (identifier and PDF metadata)</t>
  </si>
  <si>
    <t>2026-08-24 (metadata-supported)</t>
  </si>
  <si>
    <t>2026-08-24T19:25Z (B006)</t>
  </si>
  <si>
    <t>B006; B007; B008; B009; B010; B011; B012; B013; B014</t>
  </si>
  <si>
    <t>S022; S023</t>
  </si>
  <si>
    <t>https://pkcert.gov.pk/advisories.asp | https://pkcert.gov.pk/advisory/26/16.pdf</t>
  </si>
  <si>
    <t>published advisory</t>
  </si>
  <si>
    <t>The live register lists Advisory 16, NCA-16.240826, concerning malware targeting synchronized passkeys on compromised Windows systems.</t>
  </si>
  <si>
    <t>It superseded the corpus’s prior observation that Advisory 15 topped the register.</t>
  </si>
  <si>
    <t>It is an operational cyber-risk publication, not a new law or incident disclosure.</t>
  </si>
  <si>
    <t>Useful threat guidance, but no evidence of a Pakistan-specific breach or mandated remediation was located.</t>
  </si>
  <si>
    <t>Track agency adoption and any incident reporting.</t>
  </si>
  <si>
    <t>Official PDF and register; date is metadata-supported but exact release time is unavailable.</t>
  </si>
  <si>
    <t>Exact publication timestamp; implementation by covered entities.</t>
  </si>
  <si>
    <t>EVT-CYB-20260824-PKCERT17</t>
  </si>
  <si>
    <t>PKCERT publishes Advisory 17 on an Acrobat extension exposure</t>
  </si>
  <si>
    <t>S022; S024</t>
  </si>
  <si>
    <t>https://pkcert.gov.pk/advisories.asp | https://pkcert.gov.pk/advisory/26/17.pdf</t>
  </si>
  <si>
    <t>The live register lists Advisory 17, NCA-17.240826, on an Adobe Acrobat Chrome extension vulnerability exposing WhatsApp Web sessions.</t>
  </si>
  <si>
    <t>The advisory became the top visible 2026 listing by the B006 cutoff.</t>
  </si>
  <si>
    <t>The notice expands official threat guidance relevant to organizational browsers and messaging sessions.</t>
  </si>
  <si>
    <t>It should not be treated as evidence of a Pakistan-specific compromise.</t>
  </si>
  <si>
    <t>Monitor follow-on directives or incident notices.</t>
  </si>
  <si>
    <t>Official PDF and register; exact release time is unavailable.</t>
  </si>
  <si>
    <t>Exact publication timestamp; affected-estate evidence; implementation uptake.</t>
  </si>
  <si>
    <t>EVT-TEL-20260828-AMENDMENT-WITHDRAWN</t>
  </si>
  <si>
    <t>Pakistan Telecommunication amendment bill withdrawn</t>
  </si>
  <si>
    <t>PLATFORM_TELECOM</t>
  </si>
  <si>
    <t>Parliament; MoITT</t>
  </si>
  <si>
    <t>Federal / Islamabad</t>
  </si>
  <si>
    <t>2026-08-28T14:52Z (B009)</t>
  </si>
  <si>
    <t>2026-08-29T14:38Z (B010)</t>
  </si>
  <si>
    <t>B009; B010</t>
  </si>
  <si>
    <t>S025; S026</t>
  </si>
  <si>
    <t>https://pid.gov.pk/site/press_detail/33741 | https://www.senate.gov.pk/en/gbna.php?catid=186&amp;cattitle=Bills&amp;leftcatid=279&amp;subcatid=276</t>
  </si>
  <si>
    <t>withdrawn; replacement announced but not introduced</t>
  </si>
  <si>
    <t>The Senate register records the bill withdrawn in the House on 28 August. MoITT said it intended a fresh bill retaining the proposal’s essence.</t>
  </si>
  <si>
    <t>The pending bill ceased to advance; the replacement remained executive intent at cutoff.</t>
  </si>
  <si>
    <t>No operative telecom-law change arose from the withdrawn text, reducing immediate compliance impact but preserving policy uncertainty.</t>
  </si>
  <si>
    <t>Treat future legislation as a new event requiring a new text and parliamentary lifecycle.</t>
  </si>
  <si>
    <t>Watch for introduction, referral, amendments, passage, assent, Gazette and commencement.</t>
  </si>
  <si>
    <t>Official executive and parliamentary records align on withdrawal.</t>
  </si>
  <si>
    <t>Successor text, title, introduction date and operative provisions.</t>
  </si>
  <si>
    <t>EVT-KP-20260821-DIGITAL-PAYMENTS</t>
  </si>
  <si>
    <t>KP Digital Payments Bill passage claim conflicts with official tracker</t>
  </si>
  <si>
    <t>DIGITAL_IDENTITY_DPI</t>
  </si>
  <si>
    <t>Khyber Pakhtunkhwa Assembly</t>
  </si>
  <si>
    <t>Khyber Pakhtunkhwa / Peshawar</t>
  </si>
  <si>
    <t>2026-08-21 (reported)</t>
  </si>
  <si>
    <t>B004</t>
  </si>
  <si>
    <t>S027</t>
  </si>
  <si>
    <t>https://www.pakp.gov.pk/bill/the-khyber-pakhtunkhwa-promotion-of-digital-payments-bill-2026/</t>
  </si>
  <si>
    <t>S028</t>
  </si>
  <si>
    <t>https://tribune.com.pk/story/2625229/k-p-assembly-approves-digital-payments-bill</t>
  </si>
  <si>
    <t>officially referred to committee; reported passage unverified</t>
  </si>
  <si>
    <t>The official tracker currently shows the bill introduced on 6 April 2026 and referred to Standing Committee No. 10.</t>
  </si>
  <si>
    <t>A news headline says the Assembly approved the bill on 21 August, while the article body also describes it as introduced.</t>
  </si>
  <si>
    <t>A reported passage claim appeared, but authoritative disposition did not confirm it.</t>
  </si>
  <si>
    <t>Misclassifying the bill as enacted would falsely create payment obligations and a rulemaking clock.</t>
  </si>
  <si>
    <t>No Act, assent, Gazette or commencement is verified.</t>
  </si>
  <si>
    <t>Recheck committee report, passed-bills register, assent and Gazette.</t>
  </si>
  <si>
    <t>High on current official status; low on reported passage.</t>
  </si>
  <si>
    <t>Authoritative 21 August proceedings; final text; vote; assent; Gazette; commencement; rulemaking.</t>
  </si>
  <si>
    <t>include as disputed status</t>
  </si>
  <si>
    <t>CONTRADICTED_OR_UNRESOLVED</t>
  </si>
  <si>
    <t>EVT-KP-20260827-VIRTUAL-WORKPLACE</t>
  </si>
  <si>
    <t>KP committee recommends digital-workplace harassment amendments</t>
  </si>
  <si>
    <t>KP Assembly Standing Committee</t>
  </si>
  <si>
    <t>2026-08-27T14:06Z (B008)</t>
  </si>
  <si>
    <t>B008</t>
  </si>
  <si>
    <t>S029</t>
  </si>
  <si>
    <t>https://dgipr.kp.gov.pk/sc-27-8-26/</t>
  </si>
  <si>
    <t>committee recommendation; not enacted</t>
  </si>
  <si>
    <t>A provincial committee considered and recommended amendments extending workplace-protection concepts to digital, virtual and remote environments and electronic evidence.</t>
  </si>
  <si>
    <t>The proposal advanced at committee level only.</t>
  </si>
  <si>
    <t>It signals recognition of digitally mediated workplace harms but does not yet alter legal duties.</t>
  </si>
  <si>
    <t>Evidence, privacy, jurisdiction and platform-process rules remain central design questions.</t>
  </si>
  <si>
    <t>Track bill text, Assembly vote, assent, Gazette and rules.</t>
  </si>
  <si>
    <t>Official provincial release is clear about committee stage.</t>
  </si>
  <si>
    <t>Amendment text; evidentiary safeguards; vote; assent; commencement.</t>
  </si>
  <si>
    <t>EVT-SECP-20260827-C19</t>
  </si>
  <si>
    <t>SECP Circular No. 19 of 2026 on investor onboarding</t>
  </si>
  <si>
    <t>Securities and Exchange Commission of Pakistan</t>
  </si>
  <si>
    <t>issued 2026-08-25; posted 2026-08-27</t>
  </si>
  <si>
    <t>2026-08-27; press coverage 2026-08-28</t>
  </si>
  <si>
    <t>2026-09-03T04:15Z (verification)</t>
  </si>
  <si>
    <t>S101; S102</t>
  </si>
  <si>
    <t>https://www.secp.gov.pk/document/circular-no-19-of-2026-consolidated-framework-for-investor-onboarding-secp-regulated-persons/ | https://www.secp.gov.pk/laws/circulars/</t>
  </si>
  <si>
    <t>S103; S104</t>
  </si>
  <si>
    <t>https://www.dawn.com/news/2025777 | https://www.brecorder.com/news/40436941</t>
  </si>
  <si>
    <t>final issued circular; commencement date unstated; three-month transition</t>
  </si>
  <si>
    <t>Circular 19/2026 was issued on 25 August and posted on the official register on 27 August. It repeals Circular 6/2023 while preserving prior actions. For complete individual-customer documents, the maximum accept/decline period is one working day for Sehl/Sahulat accounts and two working days for Normal Accounts; deficiencies must be communicated within the same period and rejection reasons supplied in writing. Firms have three months to align forms and establish portal connectivity, subject to extension.</t>
  </si>
  <si>
    <t>Government reporting linked the reform to a 2.5 million investor-base objective; that is policy context, not an intermediary obligation.</t>
  </si>
  <si>
    <t>A final onboarding framework replaced the 2023 circular and introduced measurable processing deadlines and transition requirements.</t>
  </si>
  <si>
    <t>The circular converts a general digitisation agenda into binding process obligations for specified securities and financial-market intermediaries.</t>
  </si>
  <si>
    <t>Do not infer an effective date, extend the individual-account turnaround to juridical applicants, or treat issuance as proof of intermediary compliance.</t>
  </si>
  <si>
    <t>Track clarification of the immediate-connectivity language, the transition end point, extensions, portal readiness, rejection data and supervisory compliance.</t>
  </si>
  <si>
    <t>Official register and eight-page circular were inspected directly; dates and provisions were cross-checked against two reputable reports.</t>
  </si>
  <si>
    <t>Express effective date; juridical-person turnaround; reconciliation of immediate connectivity with the transition; extensions; operational compliance.</t>
  </si>
  <si>
    <t>EVT-PLAT-20260901-PUNJAB-U16</t>
  </si>
  <si>
    <t>Punjab Assembly reportedly passes under-16 social-media resolution</t>
  </si>
  <si>
    <t>Punjab Assembly</t>
  </si>
  <si>
    <t>Punjab / Lahore</t>
  </si>
  <si>
    <t>2026-09-01T16:51Z (B013)</t>
  </si>
  <si>
    <t>B013</t>
  </si>
  <si>
    <t>S032</t>
  </si>
  <si>
    <t>https://humenglish.com/latest/punjab-assembly-passes-resolution-to-ban-social-media-accounts-for-under-16s/</t>
  </si>
  <si>
    <t>reported non-binding resolution; official text unavailable</t>
  </si>
  <si>
    <t>A news report says the Assembly adopted a resolution urging restrictions and age verification for under-16 accounts.</t>
  </si>
  <si>
    <t>A provincial political recommendation entered the debate; no enacted platform duty followed.</t>
  </si>
  <si>
    <t>Age assurance could affect biometric processing, exclusion, appeals and federal-provincial competence.</t>
  </si>
  <si>
    <t>The resolution is agenda-setting, not legislation or a PTA rule.</t>
  </si>
  <si>
    <t>Obtain the official resolution and track any bill, PTA instrument or implementation design.</t>
  </si>
  <si>
    <t>Low</t>
  </si>
  <si>
    <t>One credible report; no official resolution text located.</t>
  </si>
  <si>
    <t>Official text; legal route; verification method; retention; redress; federal authority.</t>
  </si>
  <si>
    <t>include with qualification</t>
  </si>
  <si>
    <t>EVT-PLAT-20260831-IHC-U16</t>
  </si>
  <si>
    <t>IHC seeks replies in under-16 age-verification petition</t>
  </si>
  <si>
    <t>Islamabad High Court</t>
  </si>
  <si>
    <t>Islamabad / federal respondents</t>
  </si>
  <si>
    <t>2026-08-31 and 2026-09-01</t>
  </si>
  <si>
    <t>B013; B014</t>
  </si>
  <si>
    <t>S033; S034</t>
  </si>
  <si>
    <t>https://www.dawn.com/news/2026379 | https://www.brecorder.com/news/40437291/social-media-age-verification-ihc-direct-authorities-to-submit-reply</t>
  </si>
  <si>
    <t>procedural notice/reply stage; no final judgment</t>
  </si>
  <si>
    <t>Two news reports describe notices and a request for replies within 15 days in a petition concerning age verification.</t>
  </si>
  <si>
    <t>The petition moved into a response stage, not final adjudication.</t>
  </si>
  <si>
    <t>A future order could shape platform age assurance, regulator duties and privacy safeguards.</t>
  </si>
  <si>
    <t>No substantive rule or obligation should be inferred from notice issuance.</t>
  </si>
  <si>
    <t>Retrieve the authenticated order, respondent filings and later disposition.</t>
  </si>
  <si>
    <t>Two reputable reports align; court order itself was not located.</t>
  </si>
  <si>
    <t>Authenticated order; petition text; respondents; filings; final disposition.</t>
  </si>
  <si>
    <t>EVT-ID-20260901-NADRA-FBISE</t>
  </si>
  <si>
    <t>NADRA–FBISE student identity and certificate integration agreement</t>
  </si>
  <si>
    <t>NADRA; Federal Board of Intermediate and Secondary Education</t>
  </si>
  <si>
    <t>S035</t>
  </si>
  <si>
    <t>https://www.app.com.pk/national/nadra-fbise-sign-agreement-to-integrate-student-registration-educational-certificates-system/</t>
  </si>
  <si>
    <t>agreement signed; deployment not evidenced</t>
  </si>
  <si>
    <t>APP reports an agreement for mutual exchange of name, father’s name and date of birth, with a planned secure digital wallet for certificates.</t>
  </si>
  <si>
    <t>The agencies formalized an integration intention; no production milestone or data-protection instrument was published.</t>
  </si>
  <si>
    <t>The project involves student/child data, identity matching and credential recovery, making legal basis and safeguards consequential.</t>
  </si>
  <si>
    <t>A signed agreement is not proof that a secure wallet or live data exchange is operating.</t>
  </si>
  <si>
    <t>Seek agreement text, data-flow diagrams, access controls, retention, correction, breach response, audits and launch acceptance.</t>
  </si>
  <si>
    <t>Official news-agency report; underlying instrument and system evidence unavailable.</t>
  </si>
  <si>
    <t>Agreement text; legal basis; production status; minimisation; access/logging; retention; child safeguards; redress.</t>
  </si>
  <si>
    <t>EVT-PROC-20260818-31-AI-HUBS</t>
  </si>
  <si>
    <t>National AI Hubs procurement advertised and closed</t>
  </si>
  <si>
    <t>PROCUREMENT_PROGRAM_DELIVERY</t>
  </si>
  <si>
    <t>MoITT — Digital Emerging Technologies Wing</t>
  </si>
  <si>
    <t>2026-08-18 to 2026-08-31</t>
  </si>
  <si>
    <t>S036; S037</t>
  </si>
  <si>
    <t>https://epms.ppra.gov.pk/public/tenders/tender-details/TS0000010287E | https://epads.gov.pk/opportunities/federal/procurements/71677</t>
  </si>
  <si>
    <t>closed for bids; pre-evaluation/pre-award</t>
  </si>
  <si>
    <t>The consultancy tender was advertised 18 August and the current record shows closing at 14:00 PKT and opening at 14:30 on 31 August, single-stage two-envelope, PKR 3 million bid security and 180-day validity. No evaluation or award was visible.</t>
  </si>
  <si>
    <t>The tender history retains an inconsistent 19 August closing entry.</t>
  </si>
  <si>
    <t>The procurement moved from open to closed, but not to evaluated, awarded, contracted or delivered.</t>
  </si>
  <si>
    <t>The tender is a potential delivery vehicle for the National AI Policy, but no hub, site, budget expenditure or service exists merely because bidding closed.</t>
  </si>
  <si>
    <t>Procurement momentum remains upstream of implementation.</t>
  </si>
  <si>
    <t>Track opening record, bidders, technical evaluation, grievance, award, contract, sites, equipment and acceptance.</t>
  </si>
  <si>
    <t>Official procurement records; internal history conflict preserved.</t>
  </si>
  <si>
    <t>Bidder/opening record; evaluation; award; contract; locations; equipment; safeguards; acceptance.</t>
  </si>
  <si>
    <t>EVT-PROC-20260819-MOITT-TRAINING</t>
  </si>
  <si>
    <t>MoITT AI capacity-building procurement reaches final evaluation</t>
  </si>
  <si>
    <t>WORKFORCE_RESEARCH_EDUCATION</t>
  </si>
  <si>
    <t>MoITT</t>
  </si>
  <si>
    <t>Federal / online</t>
  </si>
  <si>
    <t>2026-08-20T14:50Z (B002)</t>
  </si>
  <si>
    <t>B002</t>
  </si>
  <si>
    <t>S038; S039</t>
  </si>
  <si>
    <t>https://epms.ppra.gov.pk/public/tenders/tender-details/TS0000006913E | https://epms.ppra.gov.pk/public/evaluations?page=7</t>
  </si>
  <si>
    <t>final evaluation; not awarded</t>
  </si>
  <si>
    <t>The procurement targets 20,000 online trainings; the evaluation listed 17 bids and NCBMS as lowest.</t>
  </si>
  <si>
    <t>Bid comparison reached final-evaluation stage.</t>
  </si>
  <si>
    <t>Potential workforce scale is material, but bidder ranking is not delivered training.</t>
  </si>
  <si>
    <t>Outcome claims should wait for award, contract, enrolment, completion and assessment evidence.</t>
  </si>
  <si>
    <t>Track award, contract value, curriculum, enrolment, completions and independent learning outcomes.</t>
  </si>
  <si>
    <t>Official procurement record; stage distinction is clear.</t>
  </si>
  <si>
    <t>Award; contract; value; provider obligations; delivery; completion and outcome evidence.</t>
  </si>
  <si>
    <t>EVT-PROC-20260821-28-NAVTTC-AI-SERVICES</t>
  </si>
  <si>
    <t>NAVTTC AI-enabled services procurement advances from technical to final evaluation</t>
  </si>
  <si>
    <t>NAVTTC</t>
  </si>
  <si>
    <t>2026-08-21 and 2026-08-28</t>
  </si>
  <si>
    <t>B003; B004; B008; B009</t>
  </si>
  <si>
    <t>S040; S041; S042</t>
  </si>
  <si>
    <t>https://epms.ppra.gov.pk/public/tenders/tender-details/TS0000010237E | https://epms.ppra.gov.pk/public/evaluations?page=1 | https://epms.ppra.gov.pk/public/evaluations?page=4</t>
  </si>
  <si>
    <t>A technical evaluation on 21 August covered six bids; a final evaluation dated 28 August listed Mercurial Minds as lowest evaluated bidder.</t>
  </si>
  <si>
    <t>This was a genuine procurement-stage update, not duplicate coverage.</t>
  </si>
  <si>
    <t>It narrows the likely supplier but does not establish contract execution or an operational AI-enabled service.</t>
  </si>
  <si>
    <t>Procurement registers should be read as a lifecycle, not as binary project completion.</t>
  </si>
  <si>
    <t>Track award, contract, scope, data safeguards, deployment, tests and acceptance.</t>
  </si>
  <si>
    <t>Official evaluation records at two stages.</t>
  </si>
  <si>
    <t>Award; price; signed contract; implementation scope; data governance; acceptance.</t>
  </si>
  <si>
    <t>EVT-PROC-20260827-PTA-DIRBS</t>
  </si>
  <si>
    <t>PTA AI-powered DIRBS tender closes</t>
  </si>
  <si>
    <t>AI_GOVERNANCE</t>
  </si>
  <si>
    <t>Pakistan Telecommunication Authority</t>
  </si>
  <si>
    <t>B001; B002; B003; B004; B005; B006; B007; B008</t>
  </si>
  <si>
    <t>S043; S044</t>
  </si>
  <si>
    <t>https://epms.ppra.gov.pk/public/tenders/tender-details/TS0000011207E | https://epads.gov.pk/federal/annual-plan/procurement/2473/7564/2026-27</t>
  </si>
  <si>
    <t>closed tender; no evaluation or award</t>
  </si>
  <si>
    <t>The consultancy tender advertised 10 August closed at 11:00 PKT on 27 August under a single-stage one-envelope procedure with 120-day validity. No result was visible.</t>
  </si>
  <si>
    <t>Annual-plan and tender metadata do not fully align.</t>
  </si>
  <si>
    <t>Bidding closed; system design, vendor selection and deployment remain unverified.</t>
  </si>
  <si>
    <t>AI use in device-registration enforcement could affect lawful device access, false positives and procedural rights.</t>
  </si>
  <si>
    <t>Governance questions are material before procurement reaches operation.</t>
  </si>
  <si>
    <t>Demand legal basis, data inputs, testing, accuracy thresholds, human review, auditability, retention and appeals.</t>
  </si>
  <si>
    <t>Official tender record for closure; technical and safeguards evidence absent.</t>
  </si>
  <si>
    <t>Metadata reconciliation; evaluation; award; architecture; accuracy; human review; retention; redress.</t>
  </si>
  <si>
    <t>EVT-PROC-20260820-NADRA-RACKS</t>
  </si>
  <si>
    <t>NADRA NDW racks, containment and PDU tender closes</t>
  </si>
  <si>
    <t>COMPUTE_CLOUD_DATACENTRE</t>
  </si>
  <si>
    <t>NADRA</t>
  </si>
  <si>
    <t>S045</t>
  </si>
  <si>
    <t>https://epms.ppra.gov.pk/public/tenders/tender-details/TS0000010535E</t>
  </si>
  <si>
    <t>closed tender; pre-evaluation</t>
  </si>
  <si>
    <t>The tender for NDW racks, containment systems and rack PDUs closed 20 August at 11:00 PKT with PKR 580,000 bid security and 120-day validity.</t>
  </si>
  <si>
    <t>Bidding closed without a visible downstream result.</t>
  </si>
  <si>
    <t>The procurement is enabling physical infrastructure, not proof of expanded compute capacity or service resilience.</t>
  </si>
  <si>
    <t>Capacity should be counted only after delivery, testing and acceptance.</t>
  </si>
  <si>
    <t>Track evaluation, award, installation, commissioning and acceptance.</t>
  </si>
  <si>
    <t>Official procurement record.</t>
  </si>
  <si>
    <t>Evaluation; award; value; delivery; commissioning; accepted capacity.</t>
  </si>
  <si>
    <t>EVT-PROC-20260820-NADRA-SWITCHES</t>
  </si>
  <si>
    <t>NADRA branch-switch and management-licence tender closes</t>
  </si>
  <si>
    <t>CONNECTIVITY_ENERGY_RESILIENCE</t>
  </si>
  <si>
    <t>2026</t>
  </si>
  <si>
    <t>S046</t>
  </si>
  <si>
    <t>https://epms.ppra.gov.pk/public/tenders/tender-details/TS0000010591E</t>
  </si>
  <si>
    <t>The tender covered 237 Layer-2 switches, 30 PoE switches and 267 central-management licences; it closed 20 August at 11:00 PKT with PKR 600,000 bid security and 120-day validity.</t>
  </si>
  <si>
    <t>Bidding closed without a visible evaluation or award.</t>
  </si>
  <si>
    <t>It may improve branch-network manageability but is not AI compute or proven operational resilience.</t>
  </si>
  <si>
    <t>Keep networking inputs distinct from compute capacity.</t>
  </si>
  <si>
    <t>Track evaluation, award, rollout, security configuration and acceptance.</t>
  </si>
  <si>
    <t>Evaluation; award; delivery; deployment; security acceptance.</t>
  </si>
  <si>
    <t>EVT-PROC-20260828-WHO-BALOCHISTAN-GIS</t>
  </si>
  <si>
    <t>WHO GIS-enabled EPI microplanning and NEIR integration RFP updated</t>
  </si>
  <si>
    <t>World Health Organization Pakistan</t>
  </si>
  <si>
    <t>Balochistan</t>
  </si>
  <si>
    <t>2026-08-27 pre-bid meeting; deadline extended to 2026-09-06</t>
  </si>
  <si>
    <t>2026-08-24 in B006 capture; current page displays 2026-08-28</t>
  </si>
  <si>
    <t>2026-08-24T19:25Z (B006, earlier schedule observed)</t>
  </si>
  <si>
    <t>2026-09-03 verification</t>
  </si>
  <si>
    <t>B006</t>
  </si>
  <si>
    <t>S047</t>
  </si>
  <si>
    <t>https://www.ungm.org/Public/Notice/310156</t>
  </si>
  <si>
    <t>open RFP; deadline extended; pre-award</t>
  </si>
  <si>
    <t>B006 captured the notice on 24 August and transcribed its publication field as 24 August; the current mutable UNGM page instead displays publication on 28 August. The current page also records a 27 August 14:00 PKT pre-bid meeting and an extended deadline of 6 September 2026 at 11:00 PKT for GIS-enabled EPI microplanning and NEIR integration.</t>
  </si>
  <si>
    <t>The observed publication date conflicts: 24 August in B006 versus 28 August on the current page. The page also retains superseded 24 and 31 August deadlines in its update history.</t>
  </si>
  <si>
    <t>The mutable record and schedule were revised; no award or implementation occurred in the period.</t>
  </si>
  <si>
    <t>The procurement involves geospatial and immunisation data, requiring careful access, retention, hosting and public-health governance.</t>
  </si>
  <si>
    <t>It is a live procurement signal, not a deployed health-data system.</t>
  </si>
  <si>
    <t>Track award, architecture, security, hosting, role-based access, retention and ethics controls.</t>
  </si>
  <si>
    <t>Current international procurement record opened directly; version history preserved.</t>
  </si>
  <si>
    <t>Award; contract; data controller/processor roles; hosting; access; retention; ethics; production acceptance.</t>
  </si>
  <si>
    <t>EVT-TEL-20260827-JAZZ-5G</t>
  </si>
  <si>
    <t>Jazz reports reaching 1,000 live 5G sites</t>
  </si>
  <si>
    <t>Jazz</t>
  </si>
  <si>
    <t>Ten Pakistani cities</t>
  </si>
  <si>
    <t>B009</t>
  </si>
  <si>
    <t>S048; S049</t>
  </si>
  <si>
    <t>https://jazz.com.pk/media-center/detail/jazz-becomes-first-operator-to-reach-1000-5g-sites | https://jazz.com.pk/media-center/detail/jazz-secures-190-mhz-spectrum-to-accelerate-pakistans-5g-future</t>
  </si>
  <si>
    <t>company-reported operational footprint</t>
  </si>
  <si>
    <t>Jazz publicly reported 1,000 live 5G sites across ten cities, a target of 2,500 by end-2026, 190 MHz of spectrum and a prior US$1 billion commitment.</t>
  </si>
  <si>
    <t>Operational-site and investment figures are company claims.</t>
  </si>
  <si>
    <t>The operator announced a footprint milestone during the reporting period.</t>
  </si>
  <si>
    <t>5G reach influences edge connectivity and enterprise/cloud adoption, but site count does not establish coverage quality, affordability or realized capex.</t>
  </si>
  <si>
    <t>Treat the milestone as direct-company evidence pending independent coverage/QoS validation.</t>
  </si>
  <si>
    <t>Verify coverage maps, independent QoS, spectrum deployment and realized investment.</t>
  </si>
  <si>
    <t>Direct company release; independent validation absent.</t>
  </si>
  <si>
    <t>Site definitions; geographic coverage; QoS; user access; realized capex.</t>
  </si>
  <si>
    <t>EVT-TEL-20260821-25-FAB-MONITORING</t>
  </si>
  <si>
    <t>FAB signs spectrum-monitoring equipment contract</t>
  </si>
  <si>
    <t>Frequency Allocation Board; Rohde &amp; Schwarz</t>
  </si>
  <si>
    <t>B010</t>
  </si>
  <si>
    <t>S050</t>
  </si>
  <si>
    <t>https://epms.ppra.gov.pk/public/contracts/contract-details/PCN-3884318406</t>
  </si>
  <si>
    <t>signed contract; commissioning unverified</t>
  </si>
  <si>
    <t>The contract record lists Rohde &amp; Schwarz, PKR 196,308,167, two bids, three digital RF receivers, four sensor systems, training, one-year warranty and ten-year support; signed 21 August and published 25 August.</t>
  </si>
  <si>
    <t>The procurement reached signed-contract stage.</t>
  </si>
  <si>
    <t>It can strengthen spectrum oversight relevant to 5G reliability, but equipment is not operational until installed and accepted.</t>
  </si>
  <si>
    <t>This is stronger than an evaluation but weaker than commissioned capability.</t>
  </si>
  <si>
    <t>Track delivery, installation, training, commissioning, acceptance and utilisation.</t>
  </si>
  <si>
    <t>Official contract record with vendor, value and scope.</t>
  </si>
  <si>
    <t>Delivery; installation sites; commissioning; acceptance; operational use.</t>
  </si>
  <si>
    <t>EVT-INF-20260821-SKY47-COMMERCE</t>
  </si>
  <si>
    <t>Commerce Ministry explores sovereign cloud and AI trade infrastructure with PDA and Sky47</t>
  </si>
  <si>
    <t>Ministry of Commerce; PDA; Sky47</t>
  </si>
  <si>
    <t>2026-09-01T16:51Z (B013, retrospective extraction)</t>
  </si>
  <si>
    <t>S051</t>
  </si>
  <si>
    <t>https://pid.gov.pk/site/press_detail/33671</t>
  </si>
  <si>
    <t>exploratory meeting / technical consultation</t>
  </si>
  <si>
    <t>The minister held separate meetings with PDA and Sky47 on data exchange, sovereign cloud, cybersecurity, disaster recovery, AI-enabled trade analysis and procurement reform; teams were directed to continue technical consultations and develop proposals.</t>
  </si>
  <si>
    <t>Sky47 briefed the minister on existing infrastructure and expansion plans.</t>
  </si>
  <si>
    <t>A government-use discussion occurred; no contract, migration or activation was reported.</t>
  </si>
  <si>
    <t>The discussion identifies possible public-sector demand and governance questions around authorized data, procurement and domestic hosting.</t>
  </si>
  <si>
    <t>The 8.5 MW Karakoram-01 capacity belongs to a July baseline, not this meeting.</t>
  </si>
  <si>
    <t>Track approved architecture, procurement, data classification, cloud contracts, migration and acceptance.</t>
  </si>
  <si>
    <t>Official release directly supports the meeting and forward-looking status.</t>
  </si>
  <si>
    <t>Proposal; contract; workloads; hosting; data-sharing controls; budget; acceptance.</t>
  </si>
  <si>
    <t>EVT-PART-20260827-RESECURITY-SKY47</t>
  </si>
  <si>
    <t>Resecurity–Sky47 cybersecurity cooperation MoU announced</t>
  </si>
  <si>
    <t>Resecurity; Sky47</t>
  </si>
  <si>
    <t>Pakistan</t>
  </si>
  <si>
    <t>signing date and place unstated; first-party announcement 2026-08-27</t>
  </si>
  <si>
    <t>2026-08-27; advertorial 2026-08-29, modified 2026-08-31</t>
  </si>
  <si>
    <t>S086</t>
  </si>
  <si>
    <t>https://www.linkedin.com/posts/sky47limited_sky47-resecurity-cybersecurity-activity-7498665122295517184-fA11</t>
  </si>
  <si>
    <t>S087; S055</t>
  </si>
  <si>
    <t>https://c-suite.exchange/sky47-and-resecurity-sign-mou-to-strengthen-cybersecurity-collaboration/ | https://www.dawn.com/news/2025965/resecurity-and-sky47-partner-to-enable-sovereign-cybersecurity-and-ai-infrastructure-in-pakistan</t>
  </si>
  <si>
    <t>signed exploratory MoU; no deployment or service contract</t>
  </si>
  <si>
    <t>Sky47 announced the signing of an MoU with Resecurity and said the parties will explore cooperation. The first-party announcement was posted on 27 August at approximately 13:58 PKT; neither it nor later reports states the physical signing date or place.</t>
  </si>
  <si>
    <t>A Resecurity-supplied Dawn advertorial says the parties intend to explore secure deployment models for threat intelligence, fraud prevention, digital-risk monitoring, identity protection, AI-powered cybersecurity workloads and GPU-enabled infrastructure.</t>
  </si>
  <si>
    <t>A prospective cooperation framework was signed and announced; no customer, value, duration, workload, capacity or delivery date was disclosed.</t>
  </si>
  <si>
    <t>It indicates private demand for data residency and in-country hosting but does not quantify realized capacity.</t>
  </si>
  <si>
    <t>Treat the MoU as a verified relationship milestone, not as service delivery or proof of new AI/GPU capacity.</t>
  </si>
  <si>
    <t>Verify contracts, customers, data-processing terms, certifications, GPU inventory, deployment and exit obligations.</t>
  </si>
  <si>
    <t>First-party announcement verifies the MoU and prospective language; delivery remains low-confidence and the signing date is unknown.</t>
  </si>
  <si>
    <t>Physical signing date/place; term; value; contract; customers; workloads; facility; GPUs; processing terms; certifications; deployment.</t>
  </si>
  <si>
    <t>EVT-RD-20260829-PSEB-NED</t>
  </si>
  <si>
    <t>PSEB–NED semiconductor education and research cluster contract signed</t>
  </si>
  <si>
    <t>Pakistan Software Export Board; NED University</t>
  </si>
  <si>
    <t>Karachi / South Region</t>
  </si>
  <si>
    <t>S088; S089; S090</t>
  </si>
  <si>
    <t>https://pid.gov.pk/site/press_detail/33749 | https://techdestination.com/wp-content/uploads/2025/09/Request-for-Proposal-NSHRDP-SERC-Procurement-2.51.pdf | https://pid.gov.pk/site/press_detail/32338</t>
  </si>
  <si>
    <t>S056; S057</t>
  </si>
  <si>
    <t>https://www.moitt.gov.pk/NewsDetail/MTJmOTg2OGQtOTNlYi00MDZjLTk0MDktNGRiMmQzMTEzYTdm | https://www.neduet.edu.pk/content/events</t>
  </si>
  <si>
    <t>contract signed / lead-university designation; commencement and disbursement unverified</t>
  </si>
  <si>
    <t>PID reports a contract naming NED the South Region lead university and completing three regional SERC agreements. It reports 270 students across all regions and a target exceeding 7,200 professionals by 2030. The procurement framework requires inspection and a commencement certificate before academic activity and disbursement.</t>
  </si>
  <si>
    <t>The ministry says INSPIRE moves into full-scale implementation. The PKR 4.844 billion figure cited elsewhere is the entire National Semiconductor Human Resource Development Program budget, not this NED contract.</t>
  </si>
  <si>
    <t>The South Region institutional agreement was reported complete.</t>
  </si>
  <si>
    <t>This creates an institutional workforce/research structure, though training targets are not yet completed outcomes.</t>
  </si>
  <si>
    <t>The contract milestone is stronger than an MoU, but it does not establish commencement, disbursement, laboratories, training or completed outputs; the NED contract value is undisclosed.</t>
  </si>
  <si>
    <t>Track contract publication, funding, labs, equipment, enrolment, completion and placements/research outputs.</t>
  </si>
  <si>
    <t>Official PID release and procurement framework support contract status and downstream conditions; contract text and delivery evidence are absent.</t>
  </si>
  <si>
    <t>Contract text/value; commencement certificate; disbursement; lab specifications; delivery calendar; enrolment by cluster; outputs.</t>
  </si>
  <si>
    <t>EVT-PUNJAB-20260828-DATALAKE</t>
  </si>
  <si>
    <t>Punjab announces Data Lake and OneMap integration claims</t>
  </si>
  <si>
    <t>Government of Punjab</t>
  </si>
  <si>
    <t>Punjab / Lahore; announcement at Guiyang event</t>
  </si>
  <si>
    <t>B009; B010; B013</t>
  </si>
  <si>
    <t>S058</t>
  </si>
  <si>
    <t>https://www.app.com.pk/punjab/maryam-delivers-thought-provoking-address-at-big-data-industry-expo/</t>
  </si>
  <si>
    <t>officially claimed launch/integration; technical operation unverified</t>
  </si>
  <si>
    <t>APP relays Punjab claims of more than 12 TB of geospatial data, 31 departments and over 6,000 datasets in a Data Lake/OneMap context, alongside sovereign-cloud and AI-office ambitions.</t>
  </si>
  <si>
    <t>The province publicly framed a cross-department data platform as a delivery milestone.</t>
  </si>
  <si>
    <t>Centralised geospatial/government data can improve planning while magnifying legal-basis, access, security, correction and reuse risks.</t>
  </si>
  <si>
    <t>Treat quantities as government claims; no technical acceptance, architecture or legal instrument was located.</t>
  </si>
  <si>
    <t>Verify datasets, controllers, hosting, access, audit, retention, public transparency and acceptance tests.</t>
  </si>
  <si>
    <t>Official news-agency report; underlying technical and legal evidence unavailable.</t>
  </si>
  <si>
    <t>Legal basis; architecture; dataset inventory; hosting; access; retention; audit; procurement; acceptance.</t>
  </si>
  <si>
    <t>EVT-KP-20260828-DIGITAL-DELIVERY</t>
  </si>
  <si>
    <t>KP government reports digital-service and cyber delivery</t>
  </si>
  <si>
    <t>Government of Khyber Pakhtunkhwa</t>
  </si>
  <si>
    <t>Khyber Pakhtunkhwa</t>
  </si>
  <si>
    <t>S059</t>
  </si>
  <si>
    <t>https://dgipr.kp.gov.pk/stit-28-8-26/</t>
  </si>
  <si>
    <t>S091</t>
  </si>
  <si>
    <t>https://tribune.com.pk/story/2626183/citizen-facilitation-centres-planned?amp=1</t>
  </si>
  <si>
    <t>district-centre directive plus provincial self-report; outcomes not independently verified</t>
  </si>
  <si>
    <t>At a 27 August performance briefing, the minister directed establishment of citizen facilitation centres in every district. The department also self-reported six model IT labs in merged-district schools, six digitised departments, an established Cyber Response Emergency Centre and a Peshawar citizen centre ready for inauguration.</t>
  </si>
  <si>
    <t>A new province-wide facilitation-centre directive was issued while earlier delivery items were restated as institutional claims.</t>
  </si>
  <si>
    <t>The portfolio suggests subnational service capacity but cannot be compared without budgets, service volumes and outcome measures.</t>
  </si>
  <si>
    <t>Institutional self-report is evidence of a claim, not independent proof of effectiveness.</t>
  </si>
  <si>
    <t>Obtain project lists, budgets, named sites, usage, uptime, incident and outcome metrics.</t>
  </si>
  <si>
    <t>Official provincial statement supports the meeting and directive; operational assertions are not independently audited.</t>
  </si>
  <si>
    <t>District rollout plan; budgets; centre list; opening dates; service volumes; uptime; cybersecurity outcomes; independent validation.</t>
  </si>
  <si>
    <t>EVT-PUNJAB-20260828-HUAWEI</t>
  </si>
  <si>
    <t>Punjab and Huawei announce AI-training commitments and discuss data centres</t>
  </si>
  <si>
    <t>Government of Punjab; Huawei</t>
  </si>
  <si>
    <t>Punjab / Nawaz Sharif IT City</t>
  </si>
  <si>
    <t>2026-08-28; secondary report 2026-08-29</t>
  </si>
  <si>
    <t>S092</t>
  </si>
  <si>
    <t>https://www.app.com.pk/punjab/punjab-cm-huawei-agree-to-expand-ai-digital-cooperation/</t>
  </si>
  <si>
    <t>S060</t>
  </si>
  <si>
    <t>https://www.brecorder.com/news/40436971/punjab-huawei-agree-to-expand-ai-digital-cooperation</t>
  </si>
  <si>
    <t>government–vendor meeting and announced commitments; no signed instrument or award</t>
  </si>
  <si>
    <t>APP reports a 28 August meeting and commitments to train 1,000 Punjab youth as Huawei master trainers and 300 women trainers in AI. Six data centres, including a sovereign centre at Nawaz Sharif IT City, were discussed; an AI Delivery Unit was proposed; Punjab stated a 2029 target for an AI-integrated system.</t>
  </si>
  <si>
    <t>The sources do not clarify whether the 300 women are included within or additional to the 1,000 youth. Separate language describing a four-tier system is not evidence of a Tier IV data-centre classification.</t>
  </si>
  <si>
    <t>Training commitments and infrastructure proposals were announced at a meeting, without a published MoU, contract, financing or delivery schedule.</t>
  </si>
  <si>
    <t>Vendor concentration, procurement, data residency, power and exit terms would be material if the proposal advances.</t>
  </si>
  <si>
    <t>Do not count six operational data centres or committed capacity from this report.</t>
  </si>
  <si>
    <t>Seek the agreement, financing, sites, capacity, procurement route, power plan, safeguards and acceptance milestones.</t>
  </si>
  <si>
    <t>Government-side APP account verifies the announcement; Huawei confirmation and operative instruments are absent, and delivery confidence is low.</t>
  </si>
  <si>
    <t>Signed text; financing; sites; capacity; procurement; power; data controls; delivery.</t>
  </si>
  <si>
    <t>EVT-PUNJAB-20260830-ALIBABA</t>
  </si>
  <si>
    <t>Punjab and Alibaba Cloud discuss AI public-service partnership</t>
  </si>
  <si>
    <t>Government of Punjab; Alibaba Cloud</t>
  </si>
  <si>
    <t>Punjab / meeting in China</t>
  </si>
  <si>
    <t>2026-08-30T14:57Z (B011)</t>
  </si>
  <si>
    <t>B011; B012</t>
  </si>
  <si>
    <t>S061; S062</t>
  </si>
  <si>
    <t>https://www.app.com.pk/punjab/alibaba-cloud-shows-keen-interest-in-punjabs-it-sector-cm-maryam-invites-chinese-ai-collaboration/ | https://radio.gov.pk/30-08-2026/ai-being-integrated-into-governance-system-in-punjab-cm</t>
  </si>
  <si>
    <t>S093; S094</t>
  </si>
  <si>
    <t>https://tribune.com.pk/story/2626664/chinese-firm-shows-interest-in-punjab-it-sector?amp=1 | https://radio.gov.pk/24-05-2026/pakistan-alibaba-group-ink-agreements-to-boost-digital-economy-cooperation</t>
  </si>
  <si>
    <t>exploratory discussion / potential partnership</t>
  </si>
  <si>
    <t>Official media report a 30 August exploratory meeting on a potential strategic partnership using AI in agriculture, healthcare, socio-economic programmes and climate forecasting; an Alibaba executive said data-centre discussions were under way.</t>
  </si>
  <si>
    <t>The executive's reference to an MoU signed before the prime minister appears to concern earlier national agreements, not a new Punjab agreement on 30 August.</t>
  </si>
  <si>
    <t>A vendor-government discussion occurred; no signed text, workload or implementation followed in the period.</t>
  </si>
  <si>
    <t>Potential public-service AI creates procurement, hosting, transfer, accountability and vendor-exit questions.</t>
  </si>
  <si>
    <t>The available evidence supports exploration, not an operational deployment.</t>
  </si>
  <si>
    <t>Track agreement, site, financing, datasets, model governance, procurement, hosting and acceptance.</t>
  </si>
  <si>
    <t>Two official-state reports align on a discussion; implementation evidence absent.</t>
  </si>
  <si>
    <t>Any new signed text; relationship to May national agreements; scope; financing; capacity; data flows; models; hosting; procurement; launch.</t>
  </si>
  <si>
    <t>EVT-KP-20260828-WORLDBANK-DIGITAL-ENERGY</t>
  </si>
  <si>
    <t>KP–World Bank talks link digital infrastructure, AI and energy</t>
  </si>
  <si>
    <t>Government of Khyber Pakhtunkhwa; World Bank</t>
  </si>
  <si>
    <t>2026-08-28 (page says Friday)</t>
  </si>
  <si>
    <t>B012; B014</t>
  </si>
  <si>
    <t>S063</t>
  </si>
  <si>
    <t>https://dgipr.kp.gov.pk/world-bank-delegation-meets-khyber-pakhtunkhwa-government-to-discuss-it-digital-infrastructure-and-energy-initiatives/</t>
  </si>
  <si>
    <t>S095</t>
  </si>
  <si>
    <t>https://www.brecorder.com/news/40437177/advisor-cs-kp-world-bank-team-discuss-it-digital-infrastructure-list-6</t>
  </si>
  <si>
    <t>exploratory meeting; joint working group agreed; no financing</t>
  </si>
  <si>
    <t>The provincial release was published 31 August and says the meeting occurred Friday, which resolves to 28 August. It reports agreement to create a joint working group to examine technical and other modalities around digital transformation, AI, a KP data centre, hydropower and transmission.</t>
  </si>
  <si>
    <t>The parties agreed an exploratory working-group mechanism; no World Bank finance, project approval, assessment, site or technical parameters were disclosed.</t>
  </si>
  <si>
    <t>The linkage recognizes that compute infrastructure depends on reliable power and transmission.</t>
  </si>
  <si>
    <t>It is planning-stage evidence, not World Bank financing or a data-centre commitment.</t>
  </si>
  <si>
    <t>Track formal assessment, working group, finance, site, load, grid and safeguards.</t>
  </si>
  <si>
    <t>Official provincial release and calendar inference support the meeting and working group; no World Bank source independently confirms it.</t>
  </si>
  <si>
    <t>World Bank confirmation; working-group terms; assessment; financing; site; capacity; energy plan.</t>
  </si>
  <si>
    <t>EVT-INTL-20260901-SAUDI-CLOUD-MEETING</t>
  </si>
  <si>
    <t>Pakistan and Saudi Arabia announce deeper cloud and cybersecurity cooperation</t>
  </si>
  <si>
    <t>MoITT; Saudi Ministry of Communications and Information Technology</t>
  </si>
  <si>
    <t>Riyadh / Pakistan–Saudi</t>
  </si>
  <si>
    <t>S064</t>
  </si>
  <si>
    <t>https://www.app.com.pk/national/shaza-meets-saudi-minister-of-communications-and-information-technology/</t>
  </si>
  <si>
    <t>ministerial cooperation announcement; no cloud project instrument</t>
  </si>
  <si>
    <t>APP reports that ministers agreed to enhance cooperation in cloud infrastructure and cybersecurity and discussed B2B partnerships, technology exports, investment, skills and technology transfer.</t>
  </si>
  <si>
    <t>A ministerial cooperation statement entered the record.</t>
  </si>
  <si>
    <t>It could open investment and export channels, but no cloud workload, capital commitment, safeguards or timetable exists in the evidence.</t>
  </si>
  <si>
    <t>This cloud-cooperation announcement is separate from the Saudi NCA–MoITT cybersecurity MoU and should not be converted into a funded infrastructure project.</t>
  </si>
  <si>
    <t>Track instrument, counterparties, workplan, financing, hosting, transfers, security and exit terms.</t>
  </si>
  <si>
    <t>Official news-agency report; no bilateral text or project documentation.</t>
  </si>
  <si>
    <t>Instrument; projects; finance; parties; workplan; hosting; data transfers; cybersecurity obligations.</t>
  </si>
  <si>
    <t>EVT-INTL-20260901-SAUDI-NCA-CYBER-MOU</t>
  </si>
  <si>
    <t>Saudi NCA and Pakistan MoITT sign cybersecurity MoU</t>
  </si>
  <si>
    <t>Saudi National Cybersecurity Authority; Pakistan Ministry of IT and Telecommunication</t>
  </si>
  <si>
    <t>2026-09-01; Pakistani corroboration 2026-09-02</t>
  </si>
  <si>
    <t>2026-09-03T04:15Z (verification; not captured in B001–B014)</t>
  </si>
  <si>
    <t>S096</t>
  </si>
  <si>
    <t>https://nca.gov.sa/ar/news/2581/</t>
  </si>
  <si>
    <t>S097; S098</t>
  </si>
  <si>
    <t>https://www.radio.gov.pk/02-09-2026/pakistan-saudi-arabia-sign-mou-in-area-of-cybersecurity | https://www.app.com.pk/national/pakistan-saudi-arabia-sign-cybersecurity-agreement/</t>
  </si>
  <si>
    <t>signed bilateral cybersecurity MoU; implementation not evidenced</t>
  </si>
  <si>
    <t>The Saudi National Cybersecurity Authority and Pakistan's MoITT signed a cybersecurity MoU on 1 September in Riyadh. The Saudi authority's page is dated 1 September and was last modified at 16:23 AST; Pakistani official outlets corroborated the signing on 2 September.</t>
  </si>
  <si>
    <t>Official accounts describe cooperation in cybersecurity without publishing the full instrument.</t>
  </si>
  <si>
    <t>A formal bilateral cybersecurity instrument was signed; the supplied briefing set missed it despite covering adjacent Saudi meetings.</t>
  </si>
  <si>
    <t>The event is substantively stronger than a ministerial discussion and exposes the monitoring corpus's severe cadence and discovery gaps.</t>
  </si>
  <si>
    <t>Signed-instrument status is verified, but no operational programme, budget or transfer mechanism should be inferred.</t>
  </si>
  <si>
    <t>Obtain the MoU, term, workplan, participating agencies, funding, information-sharing rules, data safeguards and delivery evidence.</t>
  </si>
  <si>
    <t>A first-party Saudi authority release and two Pakistani official sources independently confirm signing; implementation particulars are absent.</t>
  </si>
  <si>
    <t>Full text; term; workplan; financing; data-sharing; operational mechanism; outputs.</t>
  </si>
  <si>
    <t>include; verification-discovered event absent from briefing corpus</t>
  </si>
  <si>
    <t>EVT-INTL-20260901-SAUDI-SDAIA-AI-DATA</t>
  </si>
  <si>
    <t>Pakistan and Saudi data authority discuss AI and data-governance cooperation</t>
  </si>
  <si>
    <t>Pakistan MoITT; Saudi Data and Artificial Intelligence Authority</t>
  </si>
  <si>
    <t>S109</t>
  </si>
  <si>
    <t>https://www.app.com.pk/national/pakistan-saudi-arabia-agree-to-strengthen-cooperation-in-ai-data-governance/</t>
  </si>
  <si>
    <t>exploratory official meeting; no instrument or project</t>
  </si>
  <si>
    <t>APP reports a 1 September meeting between Pakistan's IT minister and the Saudi Data and Artificial Intelligence Authority on possible cooperation in AI and data governance.</t>
  </si>
  <si>
    <t>A separate AI/data-governance dialogue appeared during verification but was absent from the briefing corpus.</t>
  </si>
  <si>
    <t>It signals international policy coordination, while the absence of an instrument leaves obligations and implementation undefined.</t>
  </si>
  <si>
    <t>Treat as agenda-setting, not a signed agreement, funded programme or shared-data arrangement.</t>
  </si>
  <si>
    <t>Track any signed instrument, workplan, standards alignment, cross-border data terms, projects, financing and safeguards.</t>
  </si>
  <si>
    <t>An official news-agency report verifies the meeting; no Saudi first-party confirmation or instrument was located.</t>
  </si>
  <si>
    <t>Counterparty confirmation; instrument; workplan; projects; financing; data transfers; safeguards.</t>
  </si>
  <si>
    <t>include with qualification; verification-discovered event absent from briefing corpus</t>
  </si>
  <si>
    <t>EVT-DPI-20260901-OPEN-STACK</t>
  </si>
  <si>
    <t>Pakistan says national digital stack is under development and may be shared when complete</t>
  </si>
  <si>
    <t>MoITT; Pakistan Digital Authority</t>
  </si>
  <si>
    <t>Riyadh announcement / international recipients</t>
  </si>
  <si>
    <t>S099</t>
  </si>
  <si>
    <t>https://moitt.gov.pk/NewsDetail/NWI0ZjIwOTctYzc1Ny00NzBkLTliNGQtMzc2NWQxOTQyMzlk</t>
  </si>
  <si>
    <t>S065</t>
  </si>
  <si>
    <t>https://www.arabnews.pk/pakistan/minister-tells-saudi-expo-pakistan-will-share-digital-infrastructure-free-with-emerging-economies-3000008</t>
  </si>
  <si>
    <t>under development; future sharing intention; not released or deployed</t>
  </si>
  <si>
    <t>MoITT says Pakistan is developing a national digital stack spanning identity, data and payments and intends to share it free with frontier and emerging economies when complete. The event pavilion included 25 startups and 50 Pakistani technology firms; those are event-context figures, not stack capacity.</t>
  </si>
  <si>
    <t>An outward-facing future-sharing intention was announced while the official source expressly described the stack as unfinished.</t>
  </si>
  <si>
    <t>Exportable DPI could create interoperability and influence, but also transfers domestic governance assumptions across jurisdictions.</t>
  </si>
  <si>
    <t>No released code, licence, completed system or international deployment exists in the evidence; free-to-share is not yet a verified open-source release.</t>
  </si>
  <si>
    <t>Verify repositories, licence, architecture, security audit, recipients, budget and pilots.</t>
  </si>
  <si>
    <t>Official ministry source directly states the under-development status; completion and future sharing remain unverified.</t>
  </si>
  <si>
    <t>Code; licence; readiness; architecture; recipients; security; privacy; audited pilots.</t>
  </si>
  <si>
    <t>EVT-PUNJAB-20260902-AUQAF-AI</t>
  </si>
  <si>
    <t>Punjab Auqaf reports AI-assisted monitoring at model shrines</t>
  </si>
  <si>
    <t>Punjab Auqaf and Religious Affairs Department</t>
  </si>
  <si>
    <t>Punjab</t>
  </si>
  <si>
    <t>B014</t>
  </si>
  <si>
    <t>S066</t>
  </si>
  <si>
    <t>https://auqaf.punjab.gov.pk/node/835</t>
  </si>
  <si>
    <t>authority-reported operation; system assurance unavailable</t>
  </si>
  <si>
    <t>The department says digital monitoring is operational and that 10 of 16 model shrines are connected, naming sites including Badshahi Mosque and Baba Bulleh Shah’s shrine.</t>
  </si>
  <si>
    <t>The authority labels the system AI-based.</t>
  </si>
  <si>
    <t>A provincial department reported a live deployment footprint.</t>
  </si>
  <si>
    <t>Monitoring in religious/public spaces raises proportionality, biometric, retention, security, accuracy and redress issues.</t>
  </si>
  <si>
    <t>Operational scope and AI function remain unverified beyond the department’s account.</t>
  </si>
  <si>
    <t>Obtain procurement, vendor, model/function description, legal basis, data map, retention, audit and complaints process.</t>
  </si>
  <si>
    <t>Official authority statement; no independent system evidence or assurance artefacts.</t>
  </si>
  <si>
    <t>Vendor; contract; AI function; biometrics; lawful authority; retention; accuracy; human review; redress.</t>
  </si>
  <si>
    <t>EVT-PUNJAB-20260902-PBTE-DIGITISATION</t>
  </si>
  <si>
    <t>PBTE reports examination digitisation and assigns policy review</t>
  </si>
  <si>
    <t>Punjab Board of Technical Education; Punjab Industries Department</t>
  </si>
  <si>
    <t>S100; S067</t>
  </si>
  <si>
    <t>https://www.app.com.pk/business/punjab-industries-minister-chairs-pbte-board-meeting/ | https://vid.app.com.pk/vid/2026/09/%D8%B5%D9%88%D8%A8%D8%A7%D8%A6%DB%8C-%D9%88%D8%B2%DB%8C%D8%B1-%D8%B5%D9%86%D8%B9%D8%AA-%D9%88-%D8%AA%D8%AC%D8%A7%D8%B1%D8%AA-%DA%86%D9%88%D8%AF%DA%BE%D8%B1%DB%8C-%D8%B4%D8%A7%D9%81%D8%B9-%D8%AD-41/</t>
  </si>
  <si>
    <t>board meeting and authority-reported digitisation; policies assigned for review, not finalised</t>
  </si>
  <si>
    <t>APP reports a 15-point PBTE board agenda and authority claims that examination-centre monitoring, e-marking and digital paper transmission had been introduced. Eleven assessment and certification policies were assigned for review rather than approved as final instruments.</t>
  </si>
  <si>
    <t>PBTE reported digitisation measures and initiated policy review; no system acceptance or final policy text was produced.</t>
  </si>
  <si>
    <t>Digital examination systems affect integrity, access, security, auditability and student redress.</t>
  </si>
  <si>
    <t>Institutional self-report is not independent proof of system performance, and assignment for review is not policy adoption.</t>
  </si>
  <si>
    <t>Track system procurement, operating scope, security and accessibility testing, incident records, final policy approval and publication.</t>
  </si>
  <si>
    <t>Official news-agency account verifies the meeting and claims; underlying systems and policy texts are unavailable.</t>
  </si>
  <si>
    <t>System/vendor details; legal basis; acceptance tests; security; accessibility; audit; final policy texts.</t>
  </si>
  <si>
    <t>EVT-PUNJAB-20260902-PTUT-AI-COURSES</t>
  </si>
  <si>
    <t>Punjab minister announces planned PTUT AI courses</t>
  </si>
  <si>
    <t>Punjab Tianjin University of Technology; Punjab Industries Department</t>
  </si>
  <si>
    <t>2026-09-03T02:21Z (B014; originally conflated with PBTE)</t>
  </si>
  <si>
    <t>ministerial launch intention for September; delivery not evidenced</t>
  </si>
  <si>
    <t>The minister said AI courses were being launched during September at Punjab Tianjin University of Technology. The announcement did not identify course titles, intake, budget, faculty or a confirmed first class.</t>
  </si>
  <si>
    <t>A provincial workforce intention was announced for PTUT, distinct from the PBTE board action described in the same report.</t>
  </si>
  <si>
    <t>Technical-education pathways could broaden skills supply, but no scale or delivery can yet be assessed.</t>
  </si>
  <si>
    <t>A planned launch is not enrollment, instruction or completion, and the programme should not be attributed to PBTE.</t>
  </si>
  <si>
    <t>Track university notification, curricula, instructors, budget, enrolment, first teaching date and outcomes.</t>
  </si>
  <si>
    <t>Official news-agency account supports the ministerial statement; no university artefact or delivery evidence was found.</t>
  </si>
  <si>
    <t>Notification; curriculum; intake; faculty; budget; enrolment; start date; completion and placement outcomes.</t>
  </si>
  <si>
    <t>BASE-AIPOL-20250730-31</t>
  </si>
  <si>
    <t>National Artificial Intelligence Policy 2025 approved</t>
  </si>
  <si>
    <t>Federal Cabinet; MoITT</t>
  </si>
  <si>
    <t>2025-07-30/31</t>
  </si>
  <si>
    <t>2025-07-31; 2025-07-30</t>
  </si>
  <si>
    <t>S001; S002</t>
  </si>
  <si>
    <t>https://www.moitt.gov.pk/Policies | https://www.moitt.gov.pk/SiteImage/Policies/National%20AI%20Policy.pdf</t>
  </si>
  <si>
    <t>S003</t>
  </si>
  <si>
    <t>https://www.radio.gov.pk/30-07-2025/federal-cabinet-approves-hajj-policy-2026-artificial-intelligence-policy-2025</t>
  </si>
  <si>
    <t>approved policy; implementation instruments not located</t>
  </si>
  <si>
    <t>MoITT marks the policy Approved with 31 July 2025 approval date; Radio Pakistan reports Cabinet approval on 30 July. The policy envisages an AI Council, implementation cell, action matrix, funds, sandboxes and a public AI register.</t>
  </si>
  <si>
    <t>No separate constitutive or operating instrument for the major implementation mechanisms was located during the reporting span.</t>
  </si>
  <si>
    <t>The policy is the strategic baseline but does not itself prove funded programmes, institutions or enforcement.</t>
  </si>
  <si>
    <t>Keep policy approval distinct from execution.</t>
  </si>
  <si>
    <t>Track constitutive notices, budgets, action matrix, sandboxes, register and delivery metrics.</t>
  </si>
  <si>
    <t>Official policy register and text; implementation non-location is bounded.</t>
  </si>
  <si>
    <t>One-day approval-date discrepancy; Council/cell/fund constitution; budget; master plan; implementation evidence.</t>
  </si>
  <si>
    <t>include as baseline</t>
  </si>
  <si>
    <t>BASELINE_CARRY_IN</t>
  </si>
  <si>
    <t>BASE-AIBILL-20240909</t>
  </si>
  <si>
    <t>Regulation of Artificial Intelligence Bill, 2024 withdrawn/disposed</t>
  </si>
  <si>
    <t>Senate of Pakistan</t>
  </si>
  <si>
    <t>live or undated source; see source register</t>
  </si>
  <si>
    <t>B001; B002; B003</t>
  </si>
  <si>
    <t>S004</t>
  </si>
  <si>
    <t>https://www.senate.gov.pk/en/billsummary.php?bid=1544</t>
  </si>
  <si>
    <t>withdrawn/disposed; not enacted</t>
  </si>
  <si>
    <t>The Senate records introduction and referral on 9 September 2024, committee inaction, and withdrawal/disposal under standing orders.</t>
  </si>
  <si>
    <t>No successor AI statute was verified during the period.</t>
  </si>
  <si>
    <t>Pakistan’s AI policy does not rest on this withdrawn bill as an operative law.</t>
  </si>
  <si>
    <t>Do not cite it as enacted authority.</t>
  </si>
  <si>
    <t>Track any new federal AI bill from introduction onward.</t>
  </si>
  <si>
    <t>Official parliamentary disposition.</t>
  </si>
  <si>
    <t>Any successor legislative proposal.</t>
  </si>
  <si>
    <t>include as legal baseline</t>
  </si>
  <si>
    <t>BASE-DGP-20260626</t>
  </si>
  <si>
    <t>National Data Governance Policy 2026 remains draft/finalisation-stage</t>
  </si>
  <si>
    <t>MoITT; PDA</t>
  </si>
  <si>
    <t>2026-06-26 to 2026-08-21</t>
  </si>
  <si>
    <t>2026-06-30; 2026-08-05; 2026-08-21</t>
  </si>
  <si>
    <t>S001; S009; S010; S011</t>
  </si>
  <si>
    <t>https://www.moitt.gov.pk/Policies | https://www.pda.gov.pk/press-details.php?id=data-governance-policy | https://pda.gov.pk/press-details.php?id=pda-dgp-consultation | https://pda.gov.pk/press-details.php?id=from-fragmentation-to-federation</t>
  </si>
  <si>
    <t>draft; consultation concluded; finalisation pending</t>
  </si>
  <si>
    <t>MoITT currently labels Data Governance Policy 2026 Draft, dated 26 June. PDA invited comments on 30 June, said on 5 August it would incorporate feedback before finalising, and still used draft language on 21 August.</t>
  </si>
  <si>
    <t>No approval, notification or commencement evidence was found.</t>
  </si>
  <si>
    <t>Government data-sharing initiatives remain ahead of a final national governance policy.</t>
  </si>
  <si>
    <t>Final-stage process language is not final issuance.</t>
  </si>
  <si>
    <t>Track final text, approval, notification, implementation plan and institutional mandates.</t>
  </si>
  <si>
    <t>Multiple current official sources align on draft/finalisation status.</t>
  </si>
  <si>
    <t>Final text; approval; notification; commencement; implementation plan.</t>
  </si>
  <si>
    <t>BASE-PDP-2023-2026</t>
  </si>
  <si>
    <t>No enacted horizontal personal-data law verified</t>
  </si>
  <si>
    <t>MoITT; Parliament</t>
  </si>
  <si>
    <t>2018-2026 lineages</t>
  </si>
  <si>
    <t>S005; S006; S007; S008; S085</t>
  </si>
  <si>
    <t>https://www.moitt.gov.pk/Legislations | https://na.gov.pk/uploads/documents/6a1d62bdce349_708.pdf | https://senate.gov.pk/en/pbs.php?catid=1&amp;cattitle=Bills&amp;leftcatid=278&amp;subcatid=276 | https://senate.gov.pk/en/acts.php | https://www.na.gov.pk/en/acts.php</t>
  </si>
  <si>
    <t>multiple drafts/withdrawn bill; no Act verified</t>
  </si>
  <si>
    <t>MoITT lists 2018, 2020 and May 2023 executive drafts. A separate 2023 private member’s bill was withdrawn/disposed. A May 2026 parliamentary answer says MoITT finalised a bill/proposal, while current Acts registers show no horizontal Personal Data Protection Act.</t>
  </si>
  <si>
    <t>No passage, assent, Gazette or commencement was verified in the supplied span.</t>
  </si>
  <si>
    <t>Public-sector data integration, AI and cloud activity continue without a verified horizontal statute in force.</t>
  </si>
  <si>
    <t>Do not merge executive drafts, a withdrawn private bill and a ministry-finalised proposal into one legislative lifecycle.</t>
  </si>
  <si>
    <t>Track an introduced government bill, committee text, passage, assent, Gazette and commencement.</t>
  </si>
  <si>
    <t>Official registers support the lineage and non-enactment; negative finding is bounded to registers checked.</t>
  </si>
  <si>
    <t>Current government bill text; Cabinet approval; introduction; parliamentary path; transition rules.</t>
  </si>
  <si>
    <t>BASE-PISF-20260810-11</t>
  </si>
  <si>
    <t>Pakistan Information Security Framework 2026 approved and published</t>
  </si>
  <si>
    <t>Federal Cabinet; PKCERT</t>
  </si>
  <si>
    <t>Federal / covered public and CII entities</t>
  </si>
  <si>
    <t>2026-08-10/11</t>
  </si>
  <si>
    <t>2026-08-11; 2026</t>
  </si>
  <si>
    <t>B001; B013; B014</t>
  </si>
  <si>
    <t>S012; S013; S014</t>
  </si>
  <si>
    <t>https://www.moib.gov.pk/News/66315 | https://pkcert.gov.pk/grc-policies.asp | https://pkcert.gov.pk/uploads/2026/03/PISF_Merged-Version.pdf</t>
  </si>
  <si>
    <t>S015</t>
  </si>
  <si>
    <t>https://www.dawn.com/news/2022051/cabinet-okays-housing-policy-cybersecurity-framework</t>
  </si>
  <si>
    <t>Cabinet-approved and published framework; legal force qualified</t>
  </si>
  <si>
    <t>PKCERT publishes the revised framework and control suite. The text uses mandatory baseline language for federal/provincial ministries, departments, autonomous bodies, corporations, CERTs and designated CII, with oversight/audit roles. Government and news reporting describe Cabinet approval.</t>
  </si>
  <si>
    <t>No standalone PISF SRO or implementation report was located in the monitoring period.</t>
  </si>
  <si>
    <t>The framework provides a concrete public-sector/CII security baseline but is not a generally applicable private-sector statute.</t>
  </si>
  <si>
    <t>Stronger than aspiration for expressly covered entities; exact enforcement route requires qualification.</t>
  </si>
  <si>
    <t>Track implementing directions, audit results, sectoral adoption, incidents and enforcement.</t>
  </si>
  <si>
    <t>Official framework text and register; medium confidence on enforceability absent standalone notification.</t>
  </si>
  <si>
    <t>Exact Cabinet date; standalone notification; audit/enforcement practice; coverage designations.</t>
  </si>
  <si>
    <t>BASE-DNP-WASL-20260426-0513</t>
  </si>
  <si>
    <t>DNP/WASL standards remain Pilot; supporting documents remain working drafts</t>
  </si>
  <si>
    <t>PDA / Digital Nation Pakistan</t>
  </si>
  <si>
    <t>Federal / pilot participants</t>
  </si>
  <si>
    <t>2026-04-26 and 2026-05-13</t>
  </si>
  <si>
    <t>B006; B007; B009; B010; B011; B012; B014</t>
  </si>
  <si>
    <t>S016</t>
  </si>
  <si>
    <t>https://standards.dnp.gov.pk/register.html</t>
  </si>
  <si>
    <t>Pilot publications; not gazetted regulatory class</t>
  </si>
  <si>
    <t>The register shows DNP-X.001 and DNP-D.002 as Pilot/PUB dated 13 May, and DNP-D.250 and DNP-D.300 as Pilot/WD dated 26 April. The framework defines Pilot as mandatory only for pilot participants; REG is the legally binding gazetted class.</t>
  </si>
  <si>
    <t>No final REG instrument or separate participation regulation appeared.</t>
  </si>
  <si>
    <t>Identity/data-exchange architecture is being piloted before a final binding framework is visible.</t>
  </si>
  <si>
    <t>Published architecture is not equivalent to generally binding participation rules.</t>
  </si>
  <si>
    <t>Track DNP-D.050 REG, participation regulation, security audits and production onboarding.</t>
  </si>
  <si>
    <t>Official standards register and documents.</t>
  </si>
  <si>
    <t>Missing referenced DNP-D.050 REG; participation rules; production scope; audits.</t>
  </si>
  <si>
    <t>BASE-ETDC-20260618-25</t>
  </si>
  <si>
    <t>Emerging Technologies Data Centre recommended to ECNEC and entered PSDP</t>
  </si>
  <si>
    <t>Planning Commission; Defence Division / Ministry of Defence</t>
  </si>
  <si>
    <t>official portfolio action 2026-06-18; public announcement 2026-06-25</t>
  </si>
  <si>
    <t>2026-06-25; 2026-07; 2026</t>
  </si>
  <si>
    <t>B001; B006; B007; B010; B013; B014</t>
  </si>
  <si>
    <t>S068; S105; S106; S107; S108</t>
  </si>
  <si>
    <t>https://www.pc.gov.pk/web/press/get_press/1702 | https://pid.gov.pk/site/press_detail/33093 | https://pc.gov.pk/uploads/pub/Monthly-Development-Update-July-2026.pdf | https://pc.gov.pk/uploads/archives/PSDP_2026-27_Final.pdf | https://pc.gov.pk/uploads/annualplan/Annual-Plan-2026-27.pdf</t>
  </si>
  <si>
    <t>CDWP in-principle approval / recommendation to ECNEC; PSDP-allocated; ECNEC approval unverified</t>
  </si>
  <si>
    <t>Official portfolio records give an exact project cost of PKR 7,930.000 million and date the CDWP action 18 June, while contemporaneous Planning Commission and PID releases dated 25 June say the committee met that day. The final PSDP lists ETDC under Defence Division new schemes with zero expenditure through 30 June, a PKR 7,930 million throw-forward and PKR 100 million FY2026–27 allocation.</t>
  </si>
  <si>
    <t>The project is described as a secure, sovereign, government-owned AI and high-performance-computing facility for cloud, analytics, government, academia, research and private-sector use.</t>
  </si>
  <si>
    <t>No later ECNEC approval, fund release, procurement, construction, commissioning or acceptance was located through the cutoff.</t>
  </si>
  <si>
    <t>It is a potential public compute anchor, but a budget allocation and referral add no usable compute capacity.</t>
  </si>
  <si>
    <t>Preserve the official date conflict and separate recommendation, allocation, release, expenditure, construction, commissioning and utilization.</t>
  </si>
  <si>
    <t>Track ECNEC decision, revised PC-I, releases, procurement, site, power, cooling, connectivity, GPU inventory and acceptance.</t>
  </si>
  <si>
    <t>Multiple official planning and budget documents confirm cost, referral and allocation; implementation confidence remains low.</t>
  </si>
  <si>
    <t>Correct committee date; ECNEC decision; releases; PC-I; site; MW/IT load; GPUs; delivery; utilization.</t>
  </si>
  <si>
    <t>BASE-NAIEDP-20260625</t>
  </si>
  <si>
    <t>National AI Ecosystem Development Program proposal considered by CDWP</t>
  </si>
  <si>
    <t>Planning Commission; MoITT</t>
  </si>
  <si>
    <t>S068</t>
  </si>
  <si>
    <t>https://www.pc.gov.pk/web/press/get_press/1702</t>
  </si>
  <si>
    <t>PKR 13 billion in-principle/recommended to ECNEC; not delivered</t>
  </si>
  <si>
    <t>The Planning Commission release describes a PKR 13 billion programme including a feasibility study and upgraded PC-I, recommended onward rather than finally delivered.</t>
  </si>
  <si>
    <t>No final approval, release, award or output was verified.</t>
  </si>
  <si>
    <t>It may become a national programme vehicle, but pipeline status is upstream of spending and outcomes.</t>
  </si>
  <si>
    <t>Planning approval language must not be treated as a funded programme.</t>
  </si>
  <si>
    <t>Track ECNEC, PC-I, releases, procurement and outcome metrics.</t>
  </si>
  <si>
    <t>Official planning release supports amount and stage.</t>
  </si>
  <si>
    <t>ECNEC decision; funding release; programme design; procurement; outputs.</t>
  </si>
  <si>
    <t>BASE-SOVAI-RFP-20260724</t>
  </si>
  <si>
    <t>Sovereign National AI Infrastructure RFP remains open</t>
  </si>
  <si>
    <t>Ignite National Technology Fund</t>
  </si>
  <si>
    <t>2026-07-24 to 2026-09-21</t>
  </si>
  <si>
    <t>B001; B005; B009; B010; B011; B012; B014</t>
  </si>
  <si>
    <t>S069</t>
  </si>
  <si>
    <t>https://epms.ppra.gov.pk/public/tenders/tender-details/TS0000010170E</t>
  </si>
  <si>
    <t>open RFP; pre-award</t>
  </si>
  <si>
    <t>RFP P57167 covers design, deployment, operation and maintenance of sovereign national AI infrastructure, with PKR 2 million bid security, 360-day bid validity and a 21 September 2026 15:00 PKT deadline.</t>
  </si>
  <si>
    <t>The portal labels 21 September as Wednesday; calendar verification shows Monday.</t>
  </si>
  <si>
    <t>No award or delivery milestone occurred within the reporting span.</t>
  </si>
  <si>
    <t>This is the clearest federal procurement pathway toward national AI compute, but no capacity exists yet from the tender.</t>
  </si>
  <si>
    <t>Do not infer GPUs, MW, users or availability before contract and acceptance.</t>
  </si>
  <si>
    <t>Track bids, evaluation, award, architecture, site, power/cooling, access model and acceptance.</t>
  </si>
  <si>
    <t>Official tender record; weekday metadata error explicitly corrected.</t>
  </si>
  <si>
    <t>Bidders; award; value; architecture; capacity; location; energy; access; acceptance.</t>
  </si>
  <si>
    <t>BASE-PITB-AICLOUD-20260731</t>
  </si>
  <si>
    <t>PITB Government AI Cloud consultancy tender has conflicting closing dates</t>
  </si>
  <si>
    <t>Punjab Information Technology Board</t>
  </si>
  <si>
    <t>2026-07-31 to 2026-08-24</t>
  </si>
  <si>
    <t>B001; B002; B003; B004; B005; B006; B007; B008; B009</t>
  </si>
  <si>
    <t>S070</t>
  </si>
  <si>
    <t>https://pitb.gov.pk/tendernotices</t>
  </si>
  <si>
    <t>closed/pre-award; tender identity/date conflict</t>
  </si>
  <si>
    <t>The corpus alternately records 17 and 24 August closing dates, with later snapshots treating 24 August as closed and no result visible.</t>
  </si>
  <si>
    <t>No evaluation, award or deployment was authenticated.</t>
  </si>
  <si>
    <t>The consultancy may shape Punjab cloud design, but inconsistent metadata prevents a clean procurement timeline.</t>
  </si>
  <si>
    <t>Preserve competing dates until the bid document/corrigendum chain is recovered.</t>
  </si>
  <si>
    <t>Retrieve tender ID, bid document, corrigenda, opening, evaluation and award.</t>
  </si>
  <si>
    <t>Official listing exists, but the dataset’s dates conflict and durable document identity is unresolved.</t>
  </si>
  <si>
    <t>Tender ID; governing deadline; scope; evaluation; award; architecture; safeguards.</t>
  </si>
  <si>
    <t>include as disputed baseline</t>
  </si>
  <si>
    <t>BASE-PITB-DC11</t>
  </si>
  <si>
    <t>PITB DC-11 GPU server tender closed</t>
  </si>
  <si>
    <t>B001</t>
  </si>
  <si>
    <t>S071</t>
  </si>
  <si>
    <t>https://pitb.gov.pk/system/files/BD_DC-11_Corrigen-Published.pdf</t>
  </si>
  <si>
    <t>closed procurement; no award verified</t>
  </si>
  <si>
    <t>The DC-11 document describes eight L20 servers (PKR 280 million), one H200 server (PKR 100 million) and two unspecified GPU servers (PKR 600 million), totalling PKR 980 million; the tender closed 2 July.</t>
  </si>
  <si>
    <t>No in-span result was found.</t>
  </si>
  <si>
    <t>It is a concrete proposed GPU package but not delivered compute.</t>
  </si>
  <si>
    <t>Do not transfer quantities/value to the separate DC-02 or ITOPS-23 procurements.</t>
  </si>
  <si>
    <t>Track evaluation, award, delivery, site, power/cooling and acceptance.</t>
  </si>
  <si>
    <t>Official bid document; downstream status absent.</t>
  </si>
  <si>
    <t>Award; vendor; delivery; site; accepted GPU capacity.</t>
  </si>
  <si>
    <t>BASE-PITB-DC02</t>
  </si>
  <si>
    <t>PITB DC-02 GPU server procurement remains separately identified</t>
  </si>
  <si>
    <t>2026-08-31 (reported closing)</t>
  </si>
  <si>
    <t>2026-08-20T14:50:39Z (B002)</t>
  </si>
  <si>
    <t>B002; B003; B004; B005; B006; B007; B008; B009</t>
  </si>
  <si>
    <t>reported closed; document identity/results unresolved</t>
  </si>
  <si>
    <t>Briefing snapshots describe a separate later GPU-server procurement closing 31 August.</t>
  </si>
  <si>
    <t>No verified evaluation or award appeared.</t>
  </si>
  <si>
    <t>Keeping it separate prevents false aggregation of procurement value and hardware.</t>
  </si>
  <si>
    <t>Quantities from DC-11 cannot be imputed to DC-02.</t>
  </si>
  <si>
    <t>Recover direct tender document and result.</t>
  </si>
  <si>
    <t>Mutable listing/corpus reference without a durable direct document in the verified source set.</t>
  </si>
  <si>
    <t>Tender document; quantities; budget; evaluation; award; delivery.</t>
  </si>
  <si>
    <t>watchlist baseline</t>
  </si>
  <si>
    <t>BASE-PITB-ITOPS23</t>
  </si>
  <si>
    <t>PITB ITOPS-23 AI-enabled data-centre package tender closed</t>
  </si>
  <si>
    <t>S072</t>
  </si>
  <si>
    <t>https://pitb.gov.pk/system/files/BD_ITOPS_23_Corrigen_Published.pdf</t>
  </si>
  <si>
    <t>The bid document describes a PKR 600 million turnkey AI-enabled data-centre package with delivery within 24 weeks of award; it closed 1 July.</t>
  </si>
  <si>
    <t>No in-span award or accepted delivery was found.</t>
  </si>
  <si>
    <t>It is distinct from DC-11 GPU servers and the later DC-02 listing.</t>
  </si>
  <si>
    <t>Budgeted package is not commissioned infrastructure.</t>
  </si>
  <si>
    <t>Track evaluation, award, site, delivery, security and acceptance.</t>
  </si>
  <si>
    <t>Award; contract; site; equipment; delivery; acceptance.</t>
  </si>
  <si>
    <t>BASE-FINTECH-SUMMIT</t>
  </si>
  <si>
    <t>Pakistan FinTech Summit outcomes remain unverified</t>
  </si>
  <si>
    <t>PDA; DIFC</t>
  </si>
  <si>
    <t>Pakistan / international</t>
  </si>
  <si>
    <t>2026 planned</t>
  </si>
  <si>
    <t>S073</t>
  </si>
  <si>
    <t>https://www.difc.com/whats-on/news/difcs-dubai-fintech-summit-expands-globally-with-pakistan-digital-authority</t>
  </si>
  <si>
    <t>advance announcement only; occurrence and outcomes unverified</t>
  </si>
  <si>
    <t>DIFC published an advance expansion announcement involving PDA.</t>
  </si>
  <si>
    <t>No later agreement, investment, launch or outcome was authenticated in the supplied span.</t>
  </si>
  <si>
    <t>Advance event promotion cannot substantiate capital or programme outcomes.</t>
  </si>
  <si>
    <t>No event occurrence or material outcome should be inferred from the advance announcement.</t>
  </si>
  <si>
    <t>Seek event record and signed outcomes if any.</t>
  </si>
  <si>
    <t>Direct advance announcement; no outcome evidence.</t>
  </si>
  <si>
    <t>Event occurrence; agreements; investments; launches.</t>
  </si>
  <si>
    <t>retain as disputed baseline context; exclude asserted outcomes</t>
  </si>
  <si>
    <t>BASE-SKY47-20260724-KARAKORAM01</t>
  </si>
  <si>
    <t>Sky47 Karakoram-01 data centre inaugurated</t>
  </si>
  <si>
    <t>Sky47</t>
  </si>
  <si>
    <t>Islamabad</t>
  </si>
  <si>
    <t>2026-07-24; 2026-07-29; 2026</t>
  </si>
  <si>
    <t>B004; B013</t>
  </si>
  <si>
    <t>S052</t>
  </si>
  <si>
    <t>https://www.radio.gov.pk/24-07-2026/pm-field-marshal-inaugurate-sky47-karakorum-01-data-centre</t>
  </si>
  <si>
    <t>S053; S054</t>
  </si>
  <si>
    <t>https://www.datacenterdynamics.com/en/news/pakistani-operator-sky47-inaugurates-85mw-data-center-in-islamabad/ | https://dps.psx.com.pk/download/document/254563.pdf</t>
  </si>
  <si>
    <t>inaugurated baseline; utilisation and accepted IT load unverified</t>
  </si>
  <si>
    <t>Official and specialist reporting place the Karakoram-01 inauguration in Islamabad on 24 July; specialist reporting describes an 8.5 MW facility.</t>
  </si>
  <si>
    <t>Company/exchange materials describe later Karachi and Lahore expansion plans.</t>
  </si>
  <si>
    <t>No new capacity activation was verified during the reporting span; the 21 August Commerce meeting was separate.</t>
  </si>
  <si>
    <t>It is the strongest private physical-infrastructure baseline in the corpus, but facility MW is not the same as available AI compute.</t>
  </si>
  <si>
    <t>Separate inauguration, design capacity, IT load, GPUs, customers and utilisation.</t>
  </si>
  <si>
    <t>Verify certification, commissioned IT load, power/cooling resilience, GPUs, customers and expansion completion.</t>
  </si>
  <si>
    <t>Official inauguration plus specialist 8.5 MW reporting; detailed operational metrics absent.</t>
  </si>
  <si>
    <t>Gross vs IT load; GPU inventory; utilisation; customers; PPA; resilience; certification; expansions.</t>
  </si>
  <si>
    <t>BASE-GOOG-20260801-COMMERCIAL</t>
  </si>
  <si>
    <t>Google Pakistan (Private) Limited becomes counterparty for specified advertising products</t>
  </si>
  <si>
    <t>Google Pakistan (Private) Limited</t>
  </si>
  <si>
    <t>Pakistan / Sindh tax nexus</t>
  </si>
  <si>
    <t>2026-08-01; invoicing transition 2026-10-01</t>
  </si>
  <si>
    <t>S080</t>
  </si>
  <si>
    <t>https://support.google.com/google-ads/answer/2375370?hl=en-GB</t>
  </si>
  <si>
    <t>direct-company commercial/tax counterparty evidence; not physical-office evidence</t>
  </si>
  <si>
    <t>Google states that from 1 August 2026 its Pakistan private limited entity is the counterparty for new affected-product accounts; from 1 October it will issue invoices for existing Pakistani-billing-address, PKR, monthly-invoice accounts and charge 15% Sindh sales tax. Automatic/manual payment accounts remain contracted with Google Asia Pacific Pte. Ltd.</t>
  </si>
  <si>
    <t>A limited product/billing counterparty role became directly verifiable outside the briefing discovery set.</t>
  </si>
  <si>
    <t>This is concrete local commercial evidence, but it does not establish office premises, local employment or data hosting.</t>
  </si>
  <si>
    <t>Corporate/tax role and physical office must remain separate evidence categories.</t>
  </si>
  <si>
    <t>Track invoicing transition, entity disclosures, local contracting scope, employment and premises evidence.</t>
  </si>
  <si>
    <t>Direct Google operational guidance with effective dates and product scope.</t>
  </si>
  <si>
    <t>Corporate registration record; address; staffing; employing role; broader product scope; data processing/hosting.</t>
  </si>
  <si>
    <t>include as verification baseline</t>
  </si>
  <si>
    <t>Formula-driven cadence reconciliation and every inter-briefing gap; missing intervals are not imputed.</t>
  </si>
  <si>
    <t>Cadence controls</t>
  </si>
  <si>
    <t>Value</t>
  </si>
  <si>
    <t>Basis</t>
  </si>
  <si>
    <t>Nominal expected briefing runs</t>
  </si>
  <si>
    <t>runs</t>
  </si>
  <si>
    <t>15 days × 24 hours × 4 runs/hour</t>
  </si>
  <si>
    <t>Normalized B001–B014 rows</t>
  </si>
  <si>
    <t>Nominal expected minus observed</t>
  </si>
  <si>
    <t>Observed share of nominal expected</t>
  </si>
  <si>
    <t>share</t>
  </si>
  <si>
    <t>Divide-by-zero protected</t>
  </si>
  <si>
    <t>Observed span minutes</t>
  </si>
  <si>
    <t>minutes</t>
  </si>
  <si>
    <t>First normalized window start to last normalized window end</t>
  </si>
  <si>
    <t>Observed strict-window minutes</t>
  </si>
  <si>
    <t>Sum of explicit or reconstructed briefing windows</t>
  </si>
  <si>
    <t>Strict-window share of observed span</t>
  </si>
  <si>
    <t>Strict observed minutes ÷ observed span</t>
  </si>
  <si>
    <t>Expected runs across observed span</t>
  </si>
  <si>
    <t>Observed span at a 15-minute cadence</t>
  </si>
  <si>
    <t>Approximate missing across observed span</t>
  </si>
  <si>
    <t>Span-based expected minus observed</t>
  </si>
  <si>
    <t>Observed share of span-based expected</t>
  </si>
  <si>
    <t>Normalized observation boundary</t>
  </si>
  <si>
    <t>Field</t>
  </si>
  <si>
    <t>Observed start</t>
  </si>
  <si>
    <t>First normalized briefing-window start</t>
  </si>
  <si>
    <t>Observed end</t>
  </si>
  <si>
    <t>Last normalized briefing-window end</t>
  </si>
  <si>
    <t>Latest documented current-source verification time</t>
  </si>
  <si>
    <t>Normalized time zone</t>
  </si>
  <si>
    <t>UTC</t>
  </si>
  <si>
    <t>PKT equivalents remain visible on the Briefing Units sheet</t>
  </si>
  <si>
    <t>Timestamp policy</t>
  </si>
  <si>
    <t>Use explicit internal UTC/PKT windows as authoritative; treat filename dates/times and filesystem timestamps as discovery metadata only; label reconstructed endpoints approximate.</t>
  </si>
  <si>
    <t>Filename and filesystem timestamps are discovery metadata only</t>
  </si>
  <si>
    <t>Title dates without a briefing</t>
  </si>
  <si>
    <t>2026-08-19, 2026-08-24</t>
  </si>
  <si>
    <t>Nominal title-date comparison only</t>
  </si>
  <si>
    <t>PKT dates without a normalized window</t>
  </si>
  <si>
    <t>2026-08-24, 2026-09-02</t>
  </si>
  <si>
    <t>Based on normalized PKT coverage between the first and last PKT dates</t>
  </si>
  <si>
    <t>Inter-briefing gap register</t>
  </si>
  <si>
    <t>From Briefing</t>
  </si>
  <si>
    <t>To Briefing</t>
  </si>
  <si>
    <t>Gap Start UTC</t>
  </si>
  <si>
    <t>Gap End UTC</t>
  </si>
  <si>
    <t>Gap Minutes</t>
  </si>
  <si>
    <t>Gap Hours</t>
  </si>
  <si>
    <t>Approximate Missing 15M Runs</t>
  </si>
  <si>
    <t>Material Gap</t>
  </si>
  <si>
    <t>B003</t>
  </si>
  <si>
    <t>B005</t>
  </si>
  <si>
    <t>B007</t>
  </si>
  <si>
    <t>B011</t>
  </si>
  <si>
    <t>B012</t>
  </si>
  <si>
    <t>Items excluded, deduplicated, or bounded out of the evidence register, with the reason and disposition retained.</t>
  </si>
  <si>
    <t>Item ID</t>
  </si>
  <si>
    <t>Item</t>
  </si>
  <si>
    <t>Type</t>
  </si>
  <si>
    <t>Reason</t>
  </si>
  <si>
    <t>Disposition</t>
  </si>
  <si>
    <t>EXC-001</t>
  </si>
  <si>
    <t>pakistan-music-economy-meaning-man_1.html</t>
  </si>
  <si>
    <t>lack of Pakistan AI/digital-policy nexus</t>
  </si>
  <si>
    <t>Readable standalone essay about Pakistan’s music economy; not a monitoring brief and no material AI-policy or digital-infrastructure nexus.</t>
  </si>
  <si>
    <t>excluded from briefing dataset</t>
  </si>
  <si>
    <t>EXC-002</t>
  </si>
  <si>
    <t>Strict-window no-change statements in B001–B014</t>
  </si>
  <si>
    <t>repeated negative observation</t>
  </si>
  <si>
    <t>A no-change finding describes the bounded search window; it is not an underlying event and repetition is not corroboration.</t>
  </si>
  <si>
    <t>retained in coverage log, not event count</t>
  </si>
  <si>
    <t>EXC-003</t>
  </si>
  <si>
    <t>Mutable PPRA headline counts</t>
  </si>
  <si>
    <t>unstable aggregate</t>
  </si>
  <si>
    <t>Counts moved and sometimes reset; without identifying underlying rows they do not establish a substantive procurement event.</t>
  </si>
  <si>
    <t>excluded from findings</t>
  </si>
  <si>
    <t>EXC-004</t>
  </si>
  <si>
    <t>Generic PPRA rows</t>
  </si>
  <si>
    <t>out of scope</t>
  </si>
  <si>
    <t>Pneumatic items, generic security equipment, civil works, fire-hydrant evaluation and office relocation lack a material AI/digital-infrastructure nexus.</t>
  </si>
  <si>
    <t>excluded</t>
  </si>
  <si>
    <t>EXC-005</t>
  </si>
  <si>
    <t>Guddu ST-16 / 747 MW work</t>
  </si>
  <si>
    <t>insufficient AI nexus</t>
  </si>
  <si>
    <t>General grid rehabilitation is not evidence of dedicated AI-compute energy supply.</t>
  </si>
  <si>
    <t>EXC-006</t>
  </si>
  <si>
    <t>ETPB data-centre evaluation EVL00000000515</t>
  </si>
  <si>
    <t>outside reporting period</t>
  </si>
  <si>
    <t>Dated 4 May 2026; no in-span update was verified.</t>
  </si>
  <si>
    <t>EXC-007</t>
  </si>
  <si>
    <t>Date-only X-access claim</t>
  </si>
  <si>
    <t>unsupported/contradictory</t>
  </si>
  <si>
    <t>No primary PTA/Interior notice was located and the claim conflicted with earlier reporting.</t>
  </si>
  <si>
    <t>excluded pending primary evidence</t>
  </si>
  <si>
    <t>EXC-008</t>
  </si>
  <si>
    <t>Daily Times under-16 article dated 3 September</t>
  </si>
  <si>
    <t>syndicated/repeated coverage</t>
  </si>
  <si>
    <t>Recycles the 31 August IHC proceeding and does not establish a new event.</t>
  </si>
  <si>
    <t>deduplicated into EVT-PLAT-20260831-IHC-U16</t>
  </si>
  <si>
    <t>EXC-009</t>
  </si>
  <si>
    <t>Google directories and Pakistan-filtered jobs</t>
  </si>
  <si>
    <t>verification observation</t>
  </si>
  <si>
    <t>Directory contents and undated job listings help test claims but are not separate event milestones.</t>
  </si>
  <si>
    <t>used as evidence, not counted as events</t>
  </si>
  <si>
    <t>EXC-010</t>
  </si>
  <si>
    <t>Google PID 21 August and MOIB 24 August releases</t>
  </si>
  <si>
    <t>duplicate official coverage</t>
  </si>
  <si>
    <t>Both describe the same framework MoU; the later ministry item is not independent corroboration.</t>
  </si>
  <si>
    <t>clustered into EVT-GOOG-20260821-MOU</t>
  </si>
  <si>
    <t>EXC-011</t>
  </si>
  <si>
    <t>PISF 1 September press story</t>
  </si>
  <si>
    <t>repeated coverage</t>
  </si>
  <si>
    <t>Appears to repeat the 10/11 August Cabinet decision and published framework.</t>
  </si>
  <si>
    <t>retained as baseline context only</t>
  </si>
  <si>
    <t>EXC-012</t>
  </si>
  <si>
    <t>Gomal University data-centre and RDA portal claims</t>
  </si>
  <si>
    <t>unsupported</t>
  </si>
  <si>
    <t>Mentioned as earlier feed claims without direct item URLs or technical/acceptance evidence.</t>
  </si>
  <si>
    <t>watchlist only</t>
  </si>
  <si>
    <t>EXC-013</t>
  </si>
  <si>
    <t>Files absent at 15-minute cadence</t>
  </si>
  <si>
    <t>missing evidence</t>
  </si>
  <si>
    <t>Missing briefings are not imputed and their absence is not evidence that no event occurred.</t>
  </si>
  <si>
    <t>coverage limitation</t>
  </si>
  <si>
    <t>Normalized B001–B014 source provenance with exact filenames/subunits, UTC and PKT windows, timing issues, and source-file SHA-256.</t>
  </si>
  <si>
    <t>Briefing ID</t>
  </si>
  <si>
    <t>Source File</t>
  </si>
  <si>
    <t>Source Subunit</t>
  </si>
  <si>
    <t>Nominal Date</t>
  </si>
  <si>
    <t>Window Start UTC</t>
  </si>
  <si>
    <t>Window End UTC</t>
  </si>
  <si>
    <t>Window Start PKT</t>
  </si>
  <si>
    <t>Window End PKT</t>
  </si>
  <si>
    <t>Timestamp Basis</t>
  </si>
  <si>
    <t>Timing Issues</t>
  </si>
  <si>
    <t>Source File SHA-256</t>
  </si>
  <si>
    <t>Pakistan AI Policy &amp; Infrastructure Daily Brief — August 18, 2026.md</t>
  </si>
  <si>
    <t>Tab 1</t>
  </si>
  <si>
    <t>explicit previous and research cutoffs</t>
  </si>
  <si>
    <t>Title date is UTC date; normalized PKT date is 2026-08-19.</t>
  </si>
  <si>
    <t>45f7caa07f971e3fe5f24a7803eddc0aa4b4f6f2e08ece50d311bd5f1491f71a</t>
  </si>
  <si>
    <t>Tab 2</t>
  </si>
  <si>
    <t>explicit PKT coverage window</t>
  </si>
  <si>
    <t>None identified.</t>
  </si>
  <si>
    <t>Tab 3</t>
  </si>
  <si>
    <t>explicit approximate UTC and PKT window</t>
  </si>
  <si>
    <t>Window is explicitly approximate.</t>
  </si>
  <si>
    <t>Pakistan_AI_Policy_Infrastructure_Daily_Brief_2026-08-22.docx</t>
  </si>
  <si>
    <t>whole document</t>
  </si>
  <si>
    <t>explicit approximate PKT window and UTC completion</t>
  </si>
  <si>
    <t>Window start is approximate.</t>
  </si>
  <si>
    <t>b0af106096750d5a4e9482d6d5db8ab45cbb392331b95199292a9636b5442cac</t>
  </si>
  <si>
    <t>Pakistan_AI_Policy_Infrastructure_Daily_Brief_2026-08-23_2010PKT.docx</t>
  </si>
  <si>
    <t>explicit previous cutoff plus stated 12-minute window and filename end time</t>
  </si>
  <si>
    <t>End time is reconstructed from stated duration and filename.</t>
  </si>
  <si>
    <t>35f134b660569d76bb11abb2ed69531d2cdec50ba64a14d540e146e8ada3312b</t>
  </si>
  <si>
    <t>Pakistan_AI_Policy_Infrastructure_Daily_Brief_2026-08-25_0025PKT.docx</t>
  </si>
  <si>
    <t>explicit PKT comparison and research cutoffs</t>
  </si>
  <si>
    <t>UTC date is 2026-08-24 while nominal and PKT date are 2026-08-25.</t>
  </si>
  <si>
    <t>ad48d9540a3d628fa6db377c583f5fa6e9dffb87ead55fef2c403fcca6e86201</t>
  </si>
  <si>
    <t>Pakistan_AI_Policy_Infrastructure_Daily_Brief_2026-08-26_0710PKT.docx</t>
  </si>
  <si>
    <t>explicit PKT research window</t>
  </si>
  <si>
    <t>32-minute interval materially exceeds the stated approximate 15-minute cadence.</t>
  </si>
  <si>
    <t>db82dd1e0bba6666d1826690596cf8b11a47b238b4f25a871457dd07639ba8f4</t>
  </si>
  <si>
    <t>Pakistan_AI_Policy_Infrastructure_Daily_Brief_2026-08-27_1906PKT.docx</t>
  </si>
  <si>
    <t>explicit approximate PKT coverage window</t>
  </si>
  <si>
    <t>Window end is approximate.</t>
  </si>
  <si>
    <t>e7913a1755df57d1686426dbb5b43829bc12e487f63f28bbf206779176dd38c0</t>
  </si>
  <si>
    <t>Pakistan_AI_Policy_Infrastructure_Daily_Brief_2026-08-28_1952PKT.docx</t>
  </si>
  <si>
    <t>explicit approximate UTC and PKT cutoffs</t>
  </si>
  <si>
    <t>4cc02886b2335d8a3fa6370f2e291aeb51ce16760891090b6788054631b55b02</t>
  </si>
  <si>
    <t>Pakistan_AI_Policy_Infrastructure_Daily_Brief_2026-08-29_1938PKT.docx</t>
  </si>
  <si>
    <t>explicit PKT cutoffs</t>
  </si>
  <si>
    <t>Research cutoff is approximate in method text.</t>
  </si>
  <si>
    <t>b0da71141b840b8f8353b4e0da36467d93cf966d962465cd4ae4a7cca7eab03d</t>
  </si>
  <si>
    <t>Pakistan_AI_Policy_Infrastructure_Daily_Brief_2026-08-30_1957PKT.docx</t>
  </si>
  <si>
    <t>explicit approximate PKT and UTC cutoffs</t>
  </si>
  <si>
    <t>19-minute interval exceeds the nominal cadence.</t>
  </si>
  <si>
    <t>e6dc40f617be9c3bd1b972a0ac9b48bfac31f1867e72d9d5b7f5c068703dd9dd</t>
  </si>
  <si>
    <t>Pakistan_AI_Policy_Infrastructure_Daily_Brief_2026-08-31_1049ET.docx</t>
  </si>
  <si>
    <t>explicit approximate UTC and PKT research window</t>
  </si>
  <si>
    <t>Filename says 1049ET, which converts to 14:49 UTC during EDT and falls inside, not at the end of, the stated window; ET is also DST-ambiguous.</t>
  </si>
  <si>
    <t>39799a3296ff91e3e91a72db9724b0a5188d77d4bcb03fd8a380caee311000e6</t>
  </si>
  <si>
    <t>Pakistan_AI_Policy_Infrastructure_Daily_Brief_2026-09-01_1249ET.docx</t>
  </si>
  <si>
    <t>explicit UTC/PKT research cutoff in DOCX header and previous cutoff</t>
  </si>
  <si>
    <t>Filename says 1249ET (16:49 UTC during EDT), two minutes before the explicit 16:51 UTC research cutoff; ET is DST-ambiguous.</t>
  </si>
  <si>
    <t>8ef5556ab900fbe7ca9e12743ca2ad819d719453e9031958c1e116d0c3441339</t>
  </si>
  <si>
    <t>Pakistan_AI_Policy_Infrastructure_Daily_Brief_2026-09-02_2219ET.docx</t>
  </si>
  <si>
    <t>explicit UTC and PKT research window; body identifies scheduled run as 22:19 EDT</t>
  </si>
  <si>
    <t>Filename nominal date is EDT; normalized UTC and PKT dates are 2026-09-03. Filename minute is scheduled time, two minutes before research cutoff.</t>
  </si>
  <si>
    <t>7d2bc057f2d3e025074915e4e0d7ca194b13096465907a203981d127ee7ad822</t>
  </si>
  <si>
    <t>S001–S111 primary and corroborating records with visible plain-text URLs, date fields, access status, and source-specific limitations.</t>
  </si>
  <si>
    <t>Source ID</t>
  </si>
  <si>
    <t>Publisher</t>
  </si>
  <si>
    <t>Document Title</t>
  </si>
  <si>
    <t>URL</t>
  </si>
  <si>
    <t>Source Type</t>
  </si>
  <si>
    <t>Access Date UTC</t>
  </si>
  <si>
    <t>Availability</t>
  </si>
  <si>
    <t>Limitations</t>
  </si>
  <si>
    <t>S001</t>
  </si>
  <si>
    <t>Ministry of IT and Telecommunication (MoITT)</t>
  </si>
  <si>
    <t>Policies register</t>
  </si>
  <si>
    <t>https://www.moitt.gov.pk/Policies</t>
  </si>
  <si>
    <t>official ministry register</t>
  </si>
  <si>
    <t>live</t>
  </si>
  <si>
    <t>opened and assessed</t>
  </si>
  <si>
    <t>Mutable register; current status captured at access time.</t>
  </si>
  <si>
    <t>S002</t>
  </si>
  <si>
    <t>National Artificial Intelligence Policy</t>
  </si>
  <si>
    <t>https://www.moitt.gov.pk/SiteImage/Policies/National%20AI%20Policy.pdf</t>
  </si>
  <si>
    <t>official policy text</t>
  </si>
  <si>
    <t>MoITT register and Cabinet announcement differ by one day.</t>
  </si>
  <si>
    <t>Radio Pakistan</t>
  </si>
  <si>
    <t>Federal Cabinet approves Hajj Policy 2026, Artificial Intelligence Policy 2025</t>
  </si>
  <si>
    <t>official broadcaster</t>
  </si>
  <si>
    <t>Official summary, not the policy text.</t>
  </si>
  <si>
    <t>The Regulation of Artificial Intelligence Bill, 2024 — bill summary</t>
  </si>
  <si>
    <t>official parliamentary register</t>
  </si>
  <si>
    <t>Register records disposition; not an enacted law.</t>
  </si>
  <si>
    <t>S005</t>
  </si>
  <si>
    <t>Legislations register</t>
  </si>
  <si>
    <t>https://www.moitt.gov.pk/Legislations</t>
  </si>
  <si>
    <t>Mutable register; separates executive draft lineages.</t>
  </si>
  <si>
    <t>S006</t>
  </si>
  <si>
    <t>National Assembly of Pakistan</t>
  </si>
  <si>
    <t>Debates / answer concerning data-protection legislation</t>
  </si>
  <si>
    <t>https://na.gov.pk/uploads/documents/6a1d62bdce349_708.pdf</t>
  </si>
  <si>
    <t>official parliamentary record</t>
  </si>
  <si>
    <t>Uses a heading referring to an Act while operative text still describes a bill/proposal.</t>
  </si>
  <si>
    <t>S007</t>
  </si>
  <si>
    <t>Private Members' Bills register</t>
  </si>
  <si>
    <t>https://senate.gov.pk/en/pbs.php?catid=1&amp;cattitle=Bills&amp;leftcatid=278&amp;subcatid=276</t>
  </si>
  <si>
    <t>Separate from MoITT executive drafts.</t>
  </si>
  <si>
    <t>S008</t>
  </si>
  <si>
    <t>Acts of Parliament register</t>
  </si>
  <si>
    <t>https://senate.gov.pk/en/acts.php</t>
  </si>
  <si>
    <t>Negative finding bounded to displayed register entries.</t>
  </si>
  <si>
    <t>S009</t>
  </si>
  <si>
    <t>Pakistan Digital Authority (PDA)</t>
  </si>
  <si>
    <t>Pakistan Digital Authority to Oversee the Country's First National Data Governance Policy</t>
  </si>
  <si>
    <t>https://www.pda.gov.pk/press-details.php?id=data-governance-policy</t>
  </si>
  <si>
    <t>official authority release</t>
  </si>
  <si>
    <t>Describes a proposed draft and consultation.</t>
  </si>
  <si>
    <t>S010</t>
  </si>
  <si>
    <t>PDA</t>
  </si>
  <si>
    <t>Consultations concluded on the National Data Governance Policy 2026</t>
  </si>
  <si>
    <t>https://pda.gov.pk/press-details.php?id=pda-dgp-consultation</t>
  </si>
  <si>
    <t>'Final stage' is process language, not proof of approval.</t>
  </si>
  <si>
    <t>S011</t>
  </si>
  <si>
    <t>From Fragmentation to Federation</t>
  </si>
  <si>
    <t>https://pda.gov.pk/press-details.php?id=from-fragmentation-to-federation</t>
  </si>
  <si>
    <t>Still describes the Data Governance Policy as a draft.</t>
  </si>
  <si>
    <t>S012</t>
  </si>
  <si>
    <t>Ministry of Information and Broadcasting</t>
  </si>
  <si>
    <t>Cabinet approves Pakistan Information Security Framework 2026</t>
  </si>
  <si>
    <t>https://www.moib.gov.pk/News/66315</t>
  </si>
  <si>
    <t>official government release</t>
  </si>
  <si>
    <t>Summarizes Cabinet action; exact Cabinet decision date varies across reporting.</t>
  </si>
  <si>
    <t>S013</t>
  </si>
  <si>
    <t>GRC Policies — Pakistan Information Security Framework 2026</t>
  </si>
  <si>
    <t>https://pkcert.gov.pk/grc-policies.asp</t>
  </si>
  <si>
    <t>official cybersecurity authority register</t>
  </si>
  <si>
    <t>Links the framework and control suite; no standalone PISF SRO was located.</t>
  </si>
  <si>
    <t>S014</t>
  </si>
  <si>
    <t>Pakistan Information Security Framework 2026 — merged version</t>
  </si>
  <si>
    <t>https://pkcert.gov.pk/uploads/2026/03/PISF_Merged-Version.pdf</t>
  </si>
  <si>
    <t>official framework text</t>
  </si>
  <si>
    <t>Not itself an Act; enforceability outside expressly covered entities is not established.</t>
  </si>
  <si>
    <t>Dawn</t>
  </si>
  <si>
    <t>Cabinet okays housing policy, cybersecurity framework</t>
  </si>
  <si>
    <t>reputable news</t>
  </si>
  <si>
    <t>Secondary corroboration.</t>
  </si>
  <si>
    <t>Standards register</t>
  </si>
  <si>
    <t>official standards register</t>
  </si>
  <si>
    <t>Four visible entries remain Pilot; two are working drafts.</t>
  </si>
  <si>
    <t>S017</t>
  </si>
  <si>
    <t>PVARA</t>
  </si>
  <si>
    <t>Regulatory framework</t>
  </si>
  <si>
    <t>https://pvara.gov.pk/regulations</t>
  </si>
  <si>
    <t>official regulator register</t>
  </si>
  <si>
    <t>Summary page contains a ten-year statement that is narrower in the operative text.</t>
  </si>
  <si>
    <t>S018</t>
  </si>
  <si>
    <t>PVARA / Gazette of Pakistan</t>
  </si>
  <si>
    <t>Pakistan Virtual Asset Services Regulations, 2026 — S.R.O. 1419(I)/2026</t>
  </si>
  <si>
    <t>https://pvara.gov.pk/documents/Pakistan%20Virtual%20Asset%20Services%20Regulations,%202026%20-%20Notified%2021%20August%202026.pdf</t>
  </si>
  <si>
    <t>official gazetted regulation</t>
  </si>
  <si>
    <t>Operative primary text.</t>
  </si>
  <si>
    <t>S019</t>
  </si>
  <si>
    <t>Pakistan Virtual Asset Services Activity Specific Regulations, 2026 — S.R.O. 1420(I)/2026</t>
  </si>
  <si>
    <t>https://pvara.gov.pk/documents/Pakistan%20Virtual%20Asset%20Services%20Activity%20Specific%20Regulations,%202026%20-%20Notified%2021%20August%202026.pdf</t>
  </si>
  <si>
    <t>S020</t>
  </si>
  <si>
    <t>VASP licensing</t>
  </si>
  <si>
    <t>https://pvara.gov.pk/licensing</t>
  </si>
  <si>
    <t>official regulator guidance</t>
  </si>
  <si>
    <t>Portal/guidance evidence; licence decisions must be checked separately.</t>
  </si>
  <si>
    <t>S021</t>
  </si>
  <si>
    <t>Pakistan introduces regulatory system for digital economy</t>
  </si>
  <si>
    <t>https://radio.gov.pk/22-08-2026/pakistan-introduces-transparent-regulatory-system-for-digital-economy</t>
  </si>
  <si>
    <t>Official summary, not operative text.</t>
  </si>
  <si>
    <t>S022</t>
  </si>
  <si>
    <t>Advisories index</t>
  </si>
  <si>
    <t>https://pkcert.gov.pk/advisories.asp</t>
  </si>
  <si>
    <t>Index lacks displayed publication dates.</t>
  </si>
  <si>
    <t>S023</t>
  </si>
  <si>
    <t>Advisory 16 — Malware Targeting Synchronized Passkeys on Compromised Windows Systems</t>
  </si>
  <si>
    <t>https://pkcert.gov.pk/advisory/26/16.pdf</t>
  </si>
  <si>
    <t>official advisory</t>
  </si>
  <si>
    <t>Date supported by identifier and PDF metadata; exact release time unavailable.</t>
  </si>
  <si>
    <t>S024</t>
  </si>
  <si>
    <t>Advisory 17 — Adobe Acrobat Chrome Extension Vulnerability Exposing WhatsApp Web Sessions</t>
  </si>
  <si>
    <t>https://pkcert.gov.pk/advisory/26/17.pdf</t>
  </si>
  <si>
    <t>S025</t>
  </si>
  <si>
    <t>Press Information Department (PID)</t>
  </si>
  <si>
    <t>MoITT to introduce fresh bill to expedite legislative process on PTRA</t>
  </si>
  <si>
    <t>https://pid.gov.pk/site/press_detail/33741</t>
  </si>
  <si>
    <t>Fresh bill is stated intent, not a verified introduction.</t>
  </si>
  <si>
    <t>S026</t>
  </si>
  <si>
    <t>Government Bills transmitted by the National Assembly</t>
  </si>
  <si>
    <t>https://www.senate.gov.pk/en/gbna.php?catid=186&amp;cattitle=Bills&amp;leftcatid=279&amp;subcatid=276</t>
  </si>
  <si>
    <t>Records withdrawal; no successor text was visible at cutoff.</t>
  </si>
  <si>
    <t>The Khyber Pakhtunkhwa Promotion of Digital Payments Bill, 2026</t>
  </si>
  <si>
    <t>official provincial parliamentary register</t>
  </si>
  <si>
    <t>Current status says referred to Standing Committee No. 10.</t>
  </si>
  <si>
    <t>Express Tribune</t>
  </si>
  <si>
    <t>K-P Assembly approves digital payments bill</t>
  </si>
  <si>
    <t>Headline/passsage claim conflicts with current official tracker and article body says introduced.</t>
  </si>
  <si>
    <t>DGIPR Khyber Pakhtunkhwa</t>
  </si>
  <si>
    <t>Standing committee considers workplace-harassment amendments</t>
  </si>
  <si>
    <t>official provincial release</t>
  </si>
  <si>
    <t>Urdu release; describes committee action, not enactment.</t>
  </si>
  <si>
    <t>S030</t>
  </si>
  <si>
    <t>SECP</t>
  </si>
  <si>
    <t>SECP website / circular register</t>
  </si>
  <si>
    <t>https://www.secp.gov.pk/</t>
  </si>
  <si>
    <t>official regulator site</t>
  </si>
  <si>
    <t>Initial discovery source only; the direct instrument and official document page are S101-S102.</t>
  </si>
  <si>
    <t>S031</t>
  </si>
  <si>
    <t>Super Law Services</t>
  </si>
  <si>
    <t>SuperNews 28-8-2026</t>
  </si>
  <si>
    <t>https://superlawpk.com/archives/12908</t>
  </si>
  <si>
    <t>specialist commentary/index</t>
  </si>
  <si>
    <t>Initial discovery corroboration only; not a substitute for the SECP instrument at S101-S102.</t>
  </si>
  <si>
    <t>HUM News</t>
  </si>
  <si>
    <t>Punjab Assembly passes resolution to ban social media accounts for under-16s</t>
  </si>
  <si>
    <t>news report</t>
  </si>
  <si>
    <t>Official resolution text was not located; resolution is not legislation.</t>
  </si>
  <si>
    <t>S033</t>
  </si>
  <si>
    <t>IHC seeks replies on under-16 social-media age verification</t>
  </si>
  <si>
    <t>https://www.dawn.com/news/2026379</t>
  </si>
  <si>
    <t>Authenticated court order not located.</t>
  </si>
  <si>
    <t>S034</t>
  </si>
  <si>
    <t>Business Recorder</t>
  </si>
  <si>
    <t>Social media age verification: IHC directs authorities to submit reply</t>
  </si>
  <si>
    <t>https://www.brecorder.com/news/40437291/social-media-age-verification-ihc-direct-authorities-to-submit-reply</t>
  </si>
  <si>
    <t>Secondary corroboration; not the order.</t>
  </si>
  <si>
    <t>Associated Press of Pakistan (APP)</t>
  </si>
  <si>
    <t>NADRA, FBISE sign agreement to integrate student registration, educational certificates system</t>
  </si>
  <si>
    <t>official news agency</t>
  </si>
  <si>
    <t>Agreement text and production evidence unavailable.</t>
  </si>
  <si>
    <t>S036</t>
  </si>
  <si>
    <t>PPRA</t>
  </si>
  <si>
    <t>National AI Hubs tender TS0000010287E</t>
  </si>
  <si>
    <t>https://epms.ppra.gov.pk/public/tenders/tender-details/TS0000010287E</t>
  </si>
  <si>
    <t>official procurement record</t>
  </si>
  <si>
    <t>Current closing field and corrigendum history conflict; no evaluation or award visible.</t>
  </si>
  <si>
    <t>S037</t>
  </si>
  <si>
    <t>EPADS</t>
  </si>
  <si>
    <t>Establishment of National AI Hubs procurement 71677</t>
  </si>
  <si>
    <t>https://epads.gov.pk/opportunities/federal/procurements/71677</t>
  </si>
  <si>
    <t>Tender-stage record.</t>
  </si>
  <si>
    <t>S038</t>
  </si>
  <si>
    <t>MoITT AI capacity-building tender TS0000006913E</t>
  </si>
  <si>
    <t>https://epms.ppra.gov.pk/public/tenders/tender-details/TS0000006913E</t>
  </si>
  <si>
    <t>Evaluation/lowest-bidder stage is not award.</t>
  </si>
  <si>
    <t>S039</t>
  </si>
  <si>
    <t>Evaluation results register — MoITT AI training</t>
  </si>
  <si>
    <t>https://epms.ppra.gov.pk/public/evaluations?page=7</t>
  </si>
  <si>
    <t>official procurement register</t>
  </si>
  <si>
    <t>Mutable paginated register.</t>
  </si>
  <si>
    <t>S040</t>
  </si>
  <si>
    <t>NAVTTC AI-enabled services tender TS0000010237E</t>
  </si>
  <si>
    <t>https://epms.ppra.gov.pk/public/tenders/tender-details/TS0000010237E</t>
  </si>
  <si>
    <t>2026-08-21/28</t>
  </si>
  <si>
    <t>Procurement stage only.</t>
  </si>
  <si>
    <t>S041</t>
  </si>
  <si>
    <t>NAVTTC technical evaluation EVL00000002896</t>
  </si>
  <si>
    <t>https://epms.ppra.gov.pk/public/evaluations?page=1</t>
  </si>
  <si>
    <t>Six bids; mutable paginated register.</t>
  </si>
  <si>
    <t>S042</t>
  </si>
  <si>
    <t>NAVTTC final evaluation EVL00000003006</t>
  </si>
  <si>
    <t>https://epms.ppra.gov.pk/public/evaluations?page=4</t>
  </si>
  <si>
    <t>Lowest evaluated bidder is not award/contract.</t>
  </si>
  <si>
    <t>S043</t>
  </si>
  <si>
    <t>PTA AI-powered DIRBS tender TS0000011207E</t>
  </si>
  <si>
    <t>https://epms.ppra.gov.pk/public/tenders/tender-details/TS0000011207E</t>
  </si>
  <si>
    <t>No evaluation, award, system design, or safeguards visible.</t>
  </si>
  <si>
    <t>S044</t>
  </si>
  <si>
    <t>PTA annual procurement-plan record for DIRBS</t>
  </si>
  <si>
    <t>https://epads.gov.pk/federal/annual-plan/procurement/2473/7564/2026-27</t>
  </si>
  <si>
    <t>official procurement-plan record</t>
  </si>
  <si>
    <t>Plan/tender metadata conflict; do not conflate stages.</t>
  </si>
  <si>
    <t>NADRA NDW racks, containment systems and PDUs tender TS0000010535E</t>
  </si>
  <si>
    <t>No evaluation, award, delivery, or commissioning visible.</t>
  </si>
  <si>
    <t>NADRA branch switches and management licences tender TS0000010591E</t>
  </si>
  <si>
    <t>UN Global Marketplace / WHO</t>
  </si>
  <si>
    <t>RFP EM/PAK — GIS-Enabled Digital EPI Microplanning and NEIR Integration in Balochistan</t>
  </si>
  <si>
    <t>international institution procurement</t>
  </si>
  <si>
    <t>2026-08-27/2026-09-06</t>
  </si>
  <si>
    <t>Mutable record: B006 transcribed ‘Published 24 Aug 2026’; the current page displays ‘Published 28-Aug-2026’. The page also retains superseded deadlines; latest displayed deadline is 6 September 2026 11:00 PKT.</t>
  </si>
  <si>
    <t>S048</t>
  </si>
  <si>
    <t>Jazz becomes first operator to reach 1,000 5G sites</t>
  </si>
  <si>
    <t>https://jazz.com.pk/media-center/detail/jazz-becomes-first-operator-to-reach-1000-5g-sites</t>
  </si>
  <si>
    <t>direct company release</t>
  </si>
  <si>
    <t>Company-reported footprint; no independent QoS/capex audit.</t>
  </si>
  <si>
    <t>S049</t>
  </si>
  <si>
    <t>Jazz secures 190 MHz spectrum to accelerate Pakistan's 5G future</t>
  </si>
  <si>
    <t>https://jazz.com.pk/media-center/detail/jazz-secures-190-mhz-spectrum-to-accelerate-pakistans-5g-future</t>
  </si>
  <si>
    <t>Direct company context for spectrum and investment commitment.</t>
  </si>
  <si>
    <t>FAB spectrum-monitoring contract PCN-3884318406</t>
  </si>
  <si>
    <t>official procurement contract record</t>
  </si>
  <si>
    <t>Contract does not prove installation, commissioning, or acceptance.</t>
  </si>
  <si>
    <t>PID</t>
  </si>
  <si>
    <t>Jam Kamal Khan pushes sovereign cloud and AI-powered trade ecosystem</t>
  </si>
  <si>
    <t>Meeting/discussion only; contains no 8.5 MW claim.</t>
  </si>
  <si>
    <t>PM, Field Marshal inaugurate Sky47 Karakoram-01 Data Centre</t>
  </si>
  <si>
    <t>Canonical Radio Pakistan URL replacing the retired new.radio.gov.pk staging host; still only supports the inauguration baseline, not certified IT load, GPU inventory or operational utilisation.</t>
  </si>
  <si>
    <t>S053</t>
  </si>
  <si>
    <t>Data Center Dynamics</t>
  </si>
  <si>
    <t>Pakistani operator Sky47 inaugurates 8.5MW data center in Islamabad</t>
  </si>
  <si>
    <t>https://www.datacenterdynamics.com/en/news/pakistani-operator-sky47-inaugurates-85mw-data-center-in-islamabad/</t>
  </si>
  <si>
    <t>specialist industry news</t>
  </si>
  <si>
    <t>8.5 MW is facility-level reporting; IT load/utilisation not independently established.</t>
  </si>
  <si>
    <t>S054</t>
  </si>
  <si>
    <t>Mari Energies / Pakistan Stock Exchange</t>
  </si>
  <si>
    <t>Material information concerning data-centre venture</t>
  </si>
  <si>
    <t>https://dps.psx.com.pk/download/document/254563.pdf</t>
  </si>
  <si>
    <t>company exchange disclosure</t>
  </si>
  <si>
    <t>Contains plans/targets that should not be treated as commissioning evidence.</t>
  </si>
  <si>
    <t>S055</t>
  </si>
  <si>
    <t>Dawn / Resecurity</t>
  </si>
  <si>
    <t>Resecurity and Sky47 partner to enable sovereign cybersecurity and AI infrastructure in Pakistan</t>
  </si>
  <si>
    <t>https://www.dawn.com/news/2025965/resecurity-and-sky47-partner-to-enable-sovereign-cybersecurity-and-ai-infrastructure-in-pakistan</t>
  </si>
  <si>
    <t>advertorial / direct company claim</t>
  </si>
  <si>
    <t>signing date unstated; announcement 2026-08-27</t>
  </si>
  <si>
    <t>Explicit advertorial; forward-looking partnership language and no deployment proof.</t>
  </si>
  <si>
    <t>S056</t>
  </si>
  <si>
    <t>Pakistan's National Semiconductor Cluster Framework now complete as NED joins SERC</t>
  </si>
  <si>
    <t>https://www.moitt.gov.pk/NewsDetail/MTJmOTg2OGQtOTNlYi00MDZjLTk0MDktNGRiMmQzMTEzYTdm</t>
  </si>
  <si>
    <t>official ministry release</t>
  </si>
  <si>
    <t>Contract itself, budget, lab specification and delivery evidence unavailable.</t>
  </si>
  <si>
    <t>S057</t>
  </si>
  <si>
    <t>NED University</t>
  </si>
  <si>
    <t>Events — INSPIRE / PSEB semiconductor cluster</t>
  </si>
  <si>
    <t>https://www.neduet.edu.pk/content/events</t>
  </si>
  <si>
    <t>university publication</t>
  </si>
  <si>
    <t>Sparse supporting entry; no contract text.</t>
  </si>
  <si>
    <t>APP</t>
  </si>
  <si>
    <t>Maryam delivers address at Big Data Industry Expo</t>
  </si>
  <si>
    <t>Relays Punjab government claims; no architecture, legal instrument, or acceptance record.</t>
  </si>
  <si>
    <t>KP digital-government delivery update</t>
  </si>
  <si>
    <t>Government self-report; independent service-volume/outcome evidence absent.</t>
  </si>
  <si>
    <t>Punjab, Huawei agree to expand AI, digital cooperation</t>
  </si>
  <si>
    <t>No primary signed instrument, financing, site, or capacity source located.</t>
  </si>
  <si>
    <t>S061</t>
  </si>
  <si>
    <t>Alibaba Cloud shows interest in Punjab's IT sector</t>
  </si>
  <si>
    <t>https://www.app.com.pk/punjab/alibaba-cloud-shows-keen-interest-in-punjabs-it-sector-cm-maryam-invites-chinese-ai-collaboration/</t>
  </si>
  <si>
    <t>Reports discussion/potential partnership, not implementation.</t>
  </si>
  <si>
    <t>S062</t>
  </si>
  <si>
    <t>AI being integrated into governance system in Punjab: CM</t>
  </si>
  <si>
    <t>https://radio.gov.pk/30-08-2026/ai-being-integrated-into-governance-system-in-punjab-cm</t>
  </si>
  <si>
    <t>Government handout; no signed text or delivery evidence.</t>
  </si>
  <si>
    <t>World Bank delegation meets KP government on IT, digital infrastructure and energy initiatives</t>
  </si>
  <si>
    <t>Page says meeting occurred Friday; publication and event dates differ.</t>
  </si>
  <si>
    <t>Shaza meets Saudi Minister of Communications and Information Technology</t>
  </si>
  <si>
    <t>No instrument, project, financing, or timetable disclosed.</t>
  </si>
  <si>
    <t>Arab News Pakistan</t>
  </si>
  <si>
    <t>Minister says Pakistan will share digital infrastructure with emerging economies</t>
  </si>
  <si>
    <t>reputable international news</t>
  </si>
  <si>
    <t>Ministerial intention; code, licence, readiness, recipients and safeguards unavailable.</t>
  </si>
  <si>
    <t>AI-based digital monitoring system at model shrines</t>
  </si>
  <si>
    <t>Operational claim is authority-reported; vendor, biometric scope and assurance evidence absent.</t>
  </si>
  <si>
    <t>S067</t>
  </si>
  <si>
    <t>APP Video</t>
  </si>
  <si>
    <t>Punjab minister announces PBTE digitisation and AI courses</t>
  </si>
  <si>
    <t>https://vid.app.com.pk/vid/2026/09/%D8%B5%D9%88%D8%A8%D8%A7%D8%A6%DB%8C-%D9%88%D8%B2%DB%8C%D8%B1-%D8%B5%D9%86%D8%B9%D8%AA-%D9%88-%D8%AA%D8%AC%D8%A7%D8%B1%D8%AA-%DA%86%D9%88%D8%AF%DA%BE%D8%B1%DB%8C-%D8%B4%D8%A7%D9%81%D8%B9-%D8%AD-41/</t>
  </si>
  <si>
    <t>official news agency video</t>
  </si>
  <si>
    <t>404 on 2026-09-03 audit; retained as provenance/archive-only</t>
  </si>
  <si>
    <t>The APP video mixed PBTE digitisation claims with a separate PTUT course announcement and lacks institutional artefacts proving course delivery, system operation or acceptance.</t>
  </si>
  <si>
    <t>Planning Commission of Pakistan</t>
  </si>
  <si>
    <t>CDWP considers Emerging Technologies Data Centre and National AI Ecosystem Development Program</t>
  </si>
  <si>
    <t>official planning release</t>
  </si>
  <si>
    <t>2026-06-18 / 2026-06-25 (official conflict)</t>
  </si>
  <si>
    <t>In-principle/recommendation stage; not ECNEC approval, release, award, construction or operation.</t>
  </si>
  <si>
    <t>Sovereign National AI Infrastructure RFP TS0000010170E</t>
  </si>
  <si>
    <t>Open/pre-award; page's weekday label for 21 September is erroneous.</t>
  </si>
  <si>
    <t>Tender notices</t>
  </si>
  <si>
    <t>official provincial procurement register</t>
  </si>
  <si>
    <t>Mutable page; Government AI Cloud and later GPU identities/dates need document-level reconciliation.</t>
  </si>
  <si>
    <t>PITB</t>
  </si>
  <si>
    <t>Bid document DC-11 — GPU servers</t>
  </si>
  <si>
    <t>official procurement document</t>
  </si>
  <si>
    <t>Closed baseline; quantities must not be transferred to other GPU tenders.</t>
  </si>
  <si>
    <t>Bid document ITOPS-23 — AI-enabled data-centre package</t>
  </si>
  <si>
    <t>Closed baseline; no award or accepted delivery located.</t>
  </si>
  <si>
    <t>Dubai International Financial Centre</t>
  </si>
  <si>
    <t>Dubai FinTech Summit expands globally with Pakistan Digital Authority</t>
  </si>
  <si>
    <t>direct institution release</t>
  </si>
  <si>
    <t>Advance announcement does not prove later summit outcomes.</t>
  </si>
  <si>
    <t>S074</t>
  </si>
  <si>
    <t>Prime Minister meets Google delegation and unveils plaque</t>
  </si>
  <si>
    <t>https://pid.gov.pk/site/press_detail/33638</t>
  </si>
  <si>
    <t>Ceremony occurred at Prime Minister House; no office street address, occupancy or staffing evidence.</t>
  </si>
  <si>
    <t>S075</t>
  </si>
  <si>
    <t>Google opens office in Pakistan</t>
  </si>
  <si>
    <t>https://pda.gov.pk/press-details.php?id=google-opens-office-in-pakistan</t>
  </si>
  <si>
    <t>Retrospective government claim; no office address or operational particulars.</t>
  </si>
  <si>
    <t>S076</t>
  </si>
  <si>
    <t>Google announces local office as prime minister unveils plaque</t>
  </si>
  <si>
    <t>https://www.dawn.com/news/2023681</t>
  </si>
  <si>
    <t>Relays Google/company statement but provides no premises evidence.</t>
  </si>
  <si>
    <t>Government of Pakistan–Google framework MoU</t>
  </si>
  <si>
    <t>Instrument and implementation workplan were not published.</t>
  </si>
  <si>
    <t>S078</t>
  </si>
  <si>
    <t>Google framework MoU and digital-skills programmes</t>
  </si>
  <si>
    <t>https://www.moib.gov.pk/News/66341</t>
  </si>
  <si>
    <t>Later release describing same agreement; not independent corroboration.</t>
  </si>
  <si>
    <t>S079</t>
  </si>
  <si>
    <t>Government claims concerning Google programmes in Pakistan</t>
  </si>
  <si>
    <t>https://pid.gov.pk/site/press_detail/33645</t>
  </si>
  <si>
    <t>Programme numbers are government claims, not independently audited outcomes.</t>
  </si>
  <si>
    <t>Google Ads Help</t>
  </si>
  <si>
    <t>Taxes in your country — Google Pakistan (Private) Limited</t>
  </si>
  <si>
    <t>direct company operational guidance</t>
  </si>
  <si>
    <t>2026-08-01/2026-10-01</t>
  </si>
  <si>
    <t>Verifies a limited commercial/tax counterparty role, not a physical office.</t>
  </si>
  <si>
    <t>S081</t>
  </si>
  <si>
    <t>Google</t>
  </si>
  <si>
    <t>Office locations</t>
  </si>
  <si>
    <t>https://about.google/company-info/locations/</t>
  </si>
  <si>
    <t>direct company directory</t>
  </si>
  <si>
    <t>No Pakistan match at cutoff; absence does not prove no local presence.</t>
  </si>
  <si>
    <t>S082</t>
  </si>
  <si>
    <t>Google Cloud</t>
  </si>
  <si>
    <t>Global locations — regions and zones</t>
  </si>
  <si>
    <t>https://cloud.google.com/about/locations</t>
  </si>
  <si>
    <t>No Pakistan region at cutoff.</t>
  </si>
  <si>
    <t>S083</t>
  </si>
  <si>
    <t>Google Data Centers</t>
  </si>
  <si>
    <t>Locations</t>
  </si>
  <si>
    <t>https://datacenters.google/locations/</t>
  </si>
  <si>
    <t>No Pakistan owned-data-centre location at cutoff.</t>
  </si>
  <si>
    <t>S084</t>
  </si>
  <si>
    <t>Google Careers</t>
  </si>
  <si>
    <t>Pakistan-filtered jobs</t>
  </si>
  <si>
    <t>https://www.google.com/about/careers/applications/jobs/results?location=Pakistan</t>
  </si>
  <si>
    <t>direct company jobs directory</t>
  </si>
  <si>
    <t>Three matches at cutoff, two explicit Karachi; postings lack a shared event timestamp.</t>
  </si>
  <si>
    <t>S085</t>
  </si>
  <si>
    <t>Acts register</t>
  </si>
  <si>
    <t>https://www.na.gov.pk/en/acts.php</t>
  </si>
  <si>
    <t>No in-scope horizontal personal-data Act visible at cutoff.</t>
  </si>
  <si>
    <t>Sky47 and Resecurity sign a Memorandum of Understanding</t>
  </si>
  <si>
    <t>direct company announcement</t>
  </si>
  <si>
    <t>signing date unstated</t>
  </si>
  <si>
    <t>First-party LinkedIn post marked Edited; exact announcement timestamp inferred from the native activity identifier.</t>
  </si>
  <si>
    <t>S087</t>
  </si>
  <si>
    <t>C-Suite Exchange</t>
  </si>
  <si>
    <t>Sky47 and Resecurity sign MoU to strengthen cybersecurity collaboration</t>
  </si>
  <si>
    <t>https://c-suite.exchange/sky47-and-resecurity-sign-mou-to-strengthen-cybersecurity-collaboration/</t>
  </si>
  <si>
    <t>trade publication</t>
  </si>
  <si>
    <t>Corroborates the public announcement; independence from company-provided material is unclear.</t>
  </si>
  <si>
    <t>S088</t>
  </si>
  <si>
    <t>Press Information Department</t>
  </si>
  <si>
    <t>https://pid.gov.pk/site/press_detail/33749</t>
  </si>
  <si>
    <t>Confirms contract/designation but does not publish the contract, its value, or a commencement certificate.</t>
  </si>
  <si>
    <t>S089</t>
  </si>
  <si>
    <t>Pakistan Software Export Board</t>
  </si>
  <si>
    <t>RFP for three Semiconductor Education and Research Clusters</t>
  </si>
  <si>
    <t>https://techdestination.com/wp-content/uploads/2025/09/Request-for-Proposal-NSHRDP-SERC-Procurement-2.51.pdf</t>
  </si>
  <si>
    <t>2025</t>
  </si>
  <si>
    <t>Procurement framework establishes downstream inspection and commencement steps; it is not proof those steps occurred.</t>
  </si>
  <si>
    <t>S090</t>
  </si>
  <si>
    <t>National Semiconductor Human Resource Development Program budget and targets</t>
  </si>
  <si>
    <t>https://pid.gov.pk/site/press_detail/32338</t>
  </si>
  <si>
    <t>PKR 4.844 billion is the whole NSHRDP budget, not the NED contract value.</t>
  </si>
  <si>
    <t>Citizen facilitation centres planned</t>
  </si>
  <si>
    <t>Appears derived from the same provincial handout and is not independent operational corroboration.</t>
  </si>
  <si>
    <t>Associated Press of Pakistan</t>
  </si>
  <si>
    <t>Punjab CM, Huawei agree to expand AI, digital cooperation</t>
  </si>
  <si>
    <t>Government-side account; no Huawei release, signed instrument, financing, site, or capacity specification was found.</t>
  </si>
  <si>
    <t>S093</t>
  </si>
  <si>
    <t>Chinese firm shows interest in Punjab IT sector</t>
  </si>
  <si>
    <t>https://tribune.com.pk/story/2626664/chinese-firm-shows-interest-in-punjab-it-sector?amp=1</t>
  </si>
  <si>
    <t>Appears handout-derived; supports meeting chronology, not an independent project commitment.</t>
  </si>
  <si>
    <t>S094</t>
  </si>
  <si>
    <t>Pakistan, Alibaba Group ink agreements to boost digital-economy cooperation</t>
  </si>
  <si>
    <t>https://radio.gov.pk/24-05-2026/pakistan-alibaba-group-ink-agreements-to-boost-digital-economy-cooperation</t>
  </si>
  <si>
    <t>Earlier national agreements are context and must not be conflated with the 30 August Punjab meeting.</t>
  </si>
  <si>
    <t>KP, World Bank team discuss IT, digital infrastructure and energy initiatives</t>
  </si>
  <si>
    <t>Repeats the provincial account; no World Bank release or financing decision was located.</t>
  </si>
  <si>
    <t>Saudi National Cybersecurity Authority</t>
  </si>
  <si>
    <t>Saudi Arabia and Pakistan sign cybersecurity MoU</t>
  </si>
  <si>
    <t>official foreign-government release</t>
  </si>
  <si>
    <t>Confirms the signed cybersecurity MoU; full instrument, term and workplan were not published.</t>
  </si>
  <si>
    <t>S097</t>
  </si>
  <si>
    <t>Pakistan, Saudi Arabia sign MoU in area of cybersecurity</t>
  </si>
  <si>
    <t>https://www.radio.gov.pk/02-09-2026/pakistan-saudi-arabia-sign-mou-in-area-of-cybersecurity</t>
  </si>
  <si>
    <t>Cross-party governmental corroboration; no full instrument.</t>
  </si>
  <si>
    <t>S098</t>
  </si>
  <si>
    <t>Pakistan, Saudi Arabia sign cybersecurity agreement</t>
  </si>
  <si>
    <t>https://www.app.com.pk/national/pakistan-saudi-arabia-sign-cybersecurity-agreement/</t>
  </si>
  <si>
    <t>Corroborates signing; implementation particulars remain unavailable.</t>
  </si>
  <si>
    <t>Pakistan will share national digital infrastructure free with emerging economies when complete</t>
  </si>
  <si>
    <t>Explicitly says the stack is under development; no repository, licence, completion, audit or external deployment was found.</t>
  </si>
  <si>
    <t>S100</t>
  </si>
  <si>
    <t>Punjab Industries Minister chairs PBTE board meeting</t>
  </si>
  <si>
    <t>https://www.app.com.pk/business/punjab-industries-minister-chairs-pbte-board-meeting/</t>
  </si>
  <si>
    <t>Conflates PBTE digitisation claims with a separate PTUT course announcement; no institutional artefacts or delivery evidence.</t>
  </si>
  <si>
    <t>S101</t>
  </si>
  <si>
    <t>Circular No. 19 of 2026 — Consolidated Framework for Investor Onboarding</t>
  </si>
  <si>
    <t>https://www.secp.gov.pk/document/circular-no-19-of-2026-consolidated-framework-for-investor-onboarding-secp-regulated-persons/</t>
  </si>
  <si>
    <t>official regulator instrument page</t>
  </si>
  <si>
    <t>issued 2026-08-25</t>
  </si>
  <si>
    <t>Final circular; no express effective date. The direct control yielded an eight-page scanned instrument.</t>
  </si>
  <si>
    <t>S102</t>
  </si>
  <si>
    <t>Circulars register</t>
  </si>
  <si>
    <t>https://www.secp.gov.pk/laws/circulars/</t>
  </si>
  <si>
    <t>Mutable index; posting date differs from the instrument's issuance date.</t>
  </si>
  <si>
    <t>S103</t>
  </si>
  <si>
    <t>SECP overhauls investor onboarding framework</t>
  </si>
  <si>
    <t>https://www.dawn.com/news/2025777</t>
  </si>
  <si>
    <t>Secondary corroboration; the circular governs the operative provisions.</t>
  </si>
  <si>
    <t>S104</t>
  </si>
  <si>
    <t>SECP revises investor onboarding framework</t>
  </si>
  <si>
    <t>https://www.brecorder.com/news/40436941</t>
  </si>
  <si>
    <t>S105</t>
  </si>
  <si>
    <t>CDWP considers Emerging Technologies Data Centre</t>
  </si>
  <si>
    <t>https://pid.gov.pk/site/press_detail/33093</t>
  </si>
  <si>
    <t>2026-06-18/25</t>
  </si>
  <si>
    <t>Contemporaneous announcement says the meeting occurred that day; later official portfolio records date the action 18 June.</t>
  </si>
  <si>
    <t>S106</t>
  </si>
  <si>
    <t>Planning Commission</t>
  </si>
  <si>
    <t>Monthly Development Update — July 2026</t>
  </si>
  <si>
    <t>https://pc.gov.pk/uploads/pub/Monthly-Development-Update-July-2026.pdf</t>
  </si>
  <si>
    <t>official planning portfolio report</t>
  </si>
  <si>
    <t>2026-07</t>
  </si>
  <si>
    <t>Records ETDC as recommended to ECNEC on 18 June 2026.</t>
  </si>
  <si>
    <t>S107</t>
  </si>
  <si>
    <t>Public Sector Development Programme 2026–27 — Final</t>
  </si>
  <si>
    <t>https://pc.gov.pk/uploads/archives/PSDP_2026-27_Final.pdf</t>
  </si>
  <si>
    <t>official budget document</t>
  </si>
  <si>
    <t>Records PKR 100 million allocation, zero expenditure through 30 June, and full throw-forward; allocation is not release or expenditure.</t>
  </si>
  <si>
    <t>S108</t>
  </si>
  <si>
    <t>Annual Plan 2026–27</t>
  </si>
  <si>
    <t>https://pc.gov.pk/uploads/annualplan/Annual-Plan-2026-27.pdf</t>
  </si>
  <si>
    <t>official planning document</t>
  </si>
  <si>
    <t>Lists ETDC among proposed major projects.</t>
  </si>
  <si>
    <t>Pakistan, Saudi Arabia agree to strengthen cooperation in AI, data governance</t>
  </si>
  <si>
    <t>Exploratory SDAIA meeting; no instrument, project, financing or timetable disclosed.</t>
  </si>
  <si>
    <t>S110</t>
  </si>
  <si>
    <t>Public Procurement Regulatory Authority</t>
  </si>
  <si>
    <t>Replacement of NTC Peshawar transmission-hall battery banks — TS0000011042E</t>
  </si>
  <si>
    <t>https://epms.ppra.gov.pk/public/tenders/tender-details/TS0000011042E</t>
  </si>
  <si>
    <t>current closing 2026-09-10; corrigendum history shows 2026-08-25</t>
  </si>
  <si>
    <t>Mutable record has conflicting deadline fields; procurement status does not prove award, installation, testing or acceptance.</t>
  </si>
  <si>
    <t>S111</t>
  </si>
  <si>
    <t>State Life Karachi data-centre core switches — TS0000012358E</t>
  </si>
  <si>
    <t>https://epms.ppra.gov.pk/public/tenders/tender-details/TS0000012358E</t>
  </si>
  <si>
    <t>closing 2026-09-23</t>
  </si>
  <si>
    <t>Tender-stage record; no evaluation, award, delivery, commissioning or acceptance evidence.</t>
  </si>
  <si>
    <t>Future dates and triggers that require human re-verification; listing does not imply completion or occurrence.</t>
  </si>
  <si>
    <t>Watch ID</t>
  </si>
  <si>
    <t>Date Or Trigger</t>
  </si>
  <si>
    <t>Topic</t>
  </si>
  <si>
    <t>What To Verify</t>
  </si>
  <si>
    <t>Source URL</t>
  </si>
  <si>
    <t>W001</t>
  </si>
  <si>
    <t>PVARA transition deadline</t>
  </si>
  <si>
    <t>Complete applications, NOCs/licences, published reasons, transitional enforcement and cloud/cross-border implementation.</t>
  </si>
  <si>
    <t>W002</t>
  </si>
  <si>
    <t>2026-09-06 11:00 PKT</t>
  </si>
  <si>
    <t>WHO Balochistan GIS/NEIR RFP</t>
  </si>
  <si>
    <t>Final deadline, bids, award, hosting, access, retention, ethics and production acceptance.</t>
  </si>
  <si>
    <t>W003</t>
  </si>
  <si>
    <t>NTC power/resilience procurements</t>
  </si>
  <si>
    <t>Conflicting battery deadline, awards, installation, failover testing and acceptance.</t>
  </si>
  <si>
    <t>W004</t>
  </si>
  <si>
    <t>2026-09-21 15:00 PKT</t>
  </si>
  <si>
    <t>Sovereign National AI Infrastructure RFP</t>
  </si>
  <si>
    <t>Bid opening, evaluation, award, capacity, site, energy/cooling, access model, security and acceptance.</t>
  </si>
  <si>
    <t>W005</t>
  </si>
  <si>
    <t>State Life Karachi core switches</t>
  </si>
  <si>
    <t>Evaluation, award, delivery and commissioning.</t>
  </si>
  <si>
    <t>W006</t>
  </si>
  <si>
    <t>2026-09-30 target</t>
  </si>
  <si>
    <t>Sky47 Port Qasim expansion</t>
  </si>
  <si>
    <t>Actual commissioning, certification, MW/IT load, customers, GPUs, power/cooling and acceptance.</t>
  </si>
  <si>
    <t>W007</t>
  </si>
  <si>
    <t>Google Pakistan invoicing transition</t>
  </si>
  <si>
    <t>Invoices issued by local entity for eligible accounts, tax treatment, product scope and any premises/employment disclosures.</t>
  </si>
  <si>
    <t>W008</t>
  </si>
  <si>
    <t>Next official register update</t>
  </si>
  <si>
    <t>National Data Governance Policy and personal-data legislation</t>
  </si>
  <si>
    <t>Final text, approval/notification, introduced bill, passage, assent, Gazette and commencement.</t>
  </si>
  <si>
    <t>W009</t>
  </si>
  <si>
    <t>Next procurement update</t>
  </si>
  <si>
    <t>National AI Hubs, MoITT training, NAVTTC AI services and PTA DIRBS</t>
  </si>
  <si>
    <t>Opening/evaluation/award/contract/deployment/acceptance; do not infer completion from lowest-bidder or closing status.</t>
  </si>
  <si>
    <t>W010</t>
  </si>
  <si>
    <t>Next official/company disclosure</t>
  </si>
  <si>
    <t>Google physical presence</t>
  </si>
  <si>
    <t>Street address, office type, occupancy, employing entity, staffing, mandate, investment, local processing/hosting, Cloud region or owned data centre.</t>
  </si>
  <si>
    <t>W011</t>
  </si>
  <si>
    <t>Next court/parliament update</t>
  </si>
  <si>
    <t>Under-16 platform proposals</t>
  </si>
  <si>
    <t>IHC authenticated order/filings, official Punjab resolution, any bill or PTA instrument, age-assurance design and privacy/redress safeguards.</t>
  </si>
  <si>
    <t>W012</t>
  </si>
  <si>
    <t>Next agency publication</t>
  </si>
  <si>
    <t>NADRA–FBISE and Auqaf monitoring</t>
  </si>
  <si>
    <t>Legal basis, data maps, access/logging, retention, biometrics, security, human review, correction and audit.</t>
  </si>
  <si>
    <t>W013</t>
  </si>
  <si>
    <t>Next PITB tender-register update</t>
  </si>
  <si>
    <t>PITB DC-02 GPU server procurement</t>
  </si>
  <si>
    <t>Direct tender identity, governing deadline, quantities, budget, evaluation, award, delivery and acceptance.</t>
  </si>
  <si>
    <t>W014</t>
  </si>
  <si>
    <t>Next primary-source discovery</t>
  </si>
  <si>
    <t>Gomal University data centre and RDA portal claims</t>
  </si>
  <si>
    <t>Direct institutional records, technical scope, contract or award, operating status, safeguards and acceptance evidence.</t>
  </si>
  <si>
    <t>Every received top-level file, with format, size, timestamps, SHA-256, readability, apparent coverage, and inclusion decision.</t>
  </si>
  <si>
    <t>Format</t>
  </si>
  <si>
    <t>Detected Type</t>
  </si>
  <si>
    <t>Bytes</t>
  </si>
  <si>
    <t>Filesystem Birthtime</t>
  </si>
  <si>
    <t>Filesystem Mtime</t>
  </si>
  <si>
    <t>SHA-256</t>
  </si>
  <si>
    <t>Readable</t>
  </si>
  <si>
    <t>Container Status</t>
  </si>
  <si>
    <t>Internal Title</t>
  </si>
  <si>
    <t>Internal Creator</t>
  </si>
  <si>
    <t>Internal Created</t>
  </si>
  <si>
    <t>Internal Modified</t>
  </si>
  <si>
    <t>Apparent Briefing Units</t>
  </si>
  <si>
    <t>Apparent Coverage UTC</t>
  </si>
  <si>
    <t>Notes</t>
  </si>
  <si>
    <t>md</t>
  </si>
  <si>
    <t>Unicode text, UTF-8 text, with very long lines (485)</t>
  </si>
  <si>
    <t>not applicable</t>
  </si>
  <si>
    <t>2026-08-18T19:24:00Z to 2026-08-21T15:05:00Z</t>
  </si>
  <si>
    <t>include as briefing evidence</t>
  </si>
  <si>
    <t>Single Markdown download containing three labeled briefing tabs.</t>
  </si>
  <si>
    <t>docx</t>
  </si>
  <si>
    <t>Microsoft OOXML</t>
  </si>
  <si>
    <t>valid OOXML ZIP</t>
  </si>
  <si>
    <t>Pakistan AI Policy &amp; Infrastructure Daily Brief — 22 August 2026</t>
  </si>
  <si>
    <t>2026-08-22T14:52:00Z to 2026-08-22T15:05:00Z</t>
  </si>
  <si>
    <t>OOXML core creation/modification timestamps are template defaults and not usable as briefing timestamps.</t>
  </si>
  <si>
    <t>Pakistan AI Policy &amp; Infrastructure Daily Brief — 23 August 2026</t>
  </si>
  <si>
    <t>2026-08-23T14:58:00Z to 2026-08-23T15:10:00Z</t>
  </si>
  <si>
    <t>Pakistan AI Policy &amp; Infrastructure Daily Brief — 25 August 2026</t>
  </si>
  <si>
    <t>2026-08-24T19:10:00Z to 2026-08-24T19:25:00Z</t>
  </si>
  <si>
    <t>Pakistan AI Policy &amp; Infrastructure Daily Brief — 26 August 2026</t>
  </si>
  <si>
    <t>2026-08-26T01:38:00Z to 2026-08-26T02:10:00Z</t>
  </si>
  <si>
    <t>Pakistan AI Policy &amp; Infrastructure Daily Brief - August 27, 2026</t>
  </si>
  <si>
    <t>2026-08-27T13:52:00Z to 2026-08-27T14:06:00Z</t>
  </si>
  <si>
    <t>Pakistan AI Policy &amp; Infrastructure Daily Brief — 28 August 2026</t>
  </si>
  <si>
    <t>2026-08-28T14:37:00Z to 2026-08-28T14:52:00Z</t>
  </si>
  <si>
    <t>Pakistan AI Policy &amp; Infrastructure Daily Brief — 29 August 2026</t>
  </si>
  <si>
    <t>2026-08-29T14:24:00Z to 2026-08-29T14:38:00Z</t>
  </si>
  <si>
    <t>Pakistan AI Policy &amp; Infrastructure Daily Brief — 30 August 2026</t>
  </si>
  <si>
    <t>2026-08-30T14:38:00Z to 2026-08-30T14:57:00Z</t>
  </si>
  <si>
    <t>Pakistan AI Policy &amp; Infrastructure Daily Brief — 31 August 2026</t>
  </si>
  <si>
    <t>2026-08-31T14:36:00Z to 2026-08-31T14:55:00Z</t>
  </si>
  <si>
    <t>Pakistan AI Policy &amp; Infrastructure Daily Brief — 1 September 2026</t>
  </si>
  <si>
    <t>2026-09-01T16:40:00Z to 2026-09-01T16:51:00Z</t>
  </si>
  <si>
    <t>Pakistan AI Policy &amp; Infrastructure Daily Brief - 2 September 2026</t>
  </si>
  <si>
    <t>2026-09-03T02:06:00Z to 2026-09-03T02:21:00Z</t>
  </si>
  <si>
    <t>html</t>
  </si>
  <si>
    <t>HTML document text, Unicode text, UTF-8 text, with very long lines (711)</t>
  </si>
  <si>
    <t>5f6ae05bed6396e2b16f37ea3929e2fd10c714f02ae1834ae75d3546fa8eb961</t>
  </si>
  <si>
    <t>exclude from briefing dataset</t>
  </si>
  <si>
    <t>Readable standalone article about Pakistan's music economy; excluded for lack of an AI-policy/digital-infrastructure nexus.</t>
  </si>
  <si>
    <t>Extraction, normalization, event clustering, verification, conflict treatment, and refresh protocol.</t>
  </si>
  <si>
    <t>Reproducibility chain</t>
  </si>
  <si>
    <t>Step</t>
  </si>
  <si>
    <t>Stage</t>
  </si>
  <si>
    <t>Reproducible action</t>
  </si>
  <si>
    <t>Inventory</t>
  </si>
  <si>
    <t>Hash and inspect all 13 received top-level files; confirm readability, type, and container status.</t>
  </si>
  <si>
    <t>Normalize</t>
  </si>
  <si>
    <t>Extract 14 briefing units, retain source filenames/subunits, and normalize explicit UTC/PKT windows.</t>
  </si>
  <si>
    <t>Cluster</t>
  </si>
  <si>
    <t>Merge repeated briefing mentions into one underlying event while retaining every briefing reference.</t>
  </si>
  <si>
    <t>Verify</t>
  </si>
  <si>
    <t>Prioritize primary operative records, record access dates, and use independent reporting only as corroboration or context.</t>
  </si>
  <si>
    <t>Classify</t>
  </si>
  <si>
    <t>Separate facts, attributed source claims, analysis, implications, confidence, unresolved issues, and lifecycle status.</t>
  </si>
  <si>
    <t>Reconcile</t>
  </si>
  <si>
    <t>Retain conflicting versions explicitly; do not overwrite captured dates with mutable live-page values.</t>
  </si>
  <si>
    <t>Refresh</t>
  </si>
  <si>
    <t>Re-open every source URL, reconfirm lifecycle status, record a new cutoff, and rerun the audit/build/verification chain.</t>
  </si>
  <si>
    <t>Methodological rules</t>
  </si>
  <si>
    <t>Comprehensive boundary</t>
  </si>
  <si>
    <t>Timestamp authority</t>
  </si>
  <si>
    <t>Use explicit internal UTC/PKT windows as authoritative. Filename dates/times and filesystem timestamps are discovery metadata only; reconstructed endpoints remain approximate.</t>
  </si>
  <si>
    <t>Negative findings</t>
  </si>
  <si>
    <t>Do not infer no change from missing intervals. State only what is supported by the supplied files and documented verification searches.</t>
  </si>
  <si>
    <t>Lifecycle precision</t>
  </si>
  <si>
    <t>Distinguish proposal, consultation, recommendation, approval, notification, award, signing, delivery, commissioning, and operation.</t>
  </si>
  <si>
    <t>Source hierarchy</t>
  </si>
  <si>
    <t>Primary law/gazette/regulator/procurement record → official institution/company → independent reporting → supplied briefing as discovery provenance.</t>
  </si>
  <si>
    <t>Corroboration</t>
  </si>
  <si>
    <t>Later releases about the same underlying event do not create independent corroboration; briefing repetition is provenance, not a second source.</t>
  </si>
  <si>
    <t>Conflict treatment</t>
  </si>
  <si>
    <t>Preserve each dated version and its access context. WHO S047 retains 24 August in B006 versus 28 August on the current mutable page.</t>
  </si>
  <si>
    <t>Google presence</t>
  </si>
  <si>
    <t>Keep legal/tax counterparty evidence separate from physical-office evidence, staffing, operational control, and service availability.</t>
  </si>
  <si>
    <t>Confidence rubric</t>
  </si>
  <si>
    <t>Class</t>
  </si>
  <si>
    <t>Direct, accessible primary record supports the event and lifecycle status; material contradictions are resolved or explicitly bounded.</t>
  </si>
  <si>
    <t>Core event is supported, but the operative instrument, implementation evidence, independent corroboration or important particulars are missing.</t>
  </si>
  <si>
    <t>Only an indirect, secondary, inaccessible or contradictory record supports the claim; no provision-level or implementation conclusion is drawn.</t>
  </si>
  <si>
    <t>Lifecycle taxonomy</t>
  </si>
  <si>
    <t>Distinct development whose authoritative date or verification discovery falls within the observed period.</t>
  </si>
  <si>
    <t>Earlier instrument or event retained because it governs interpretation of the observed period.</t>
  </si>
  <si>
    <t>MONITORED_NO_CHANGE</t>
  </si>
  <si>
    <t>Monitored baseline for which a supported status check found no material change.</t>
  </si>
  <si>
    <t>CORRECTION</t>
  </si>
  <si>
    <t>Documented correction to a prior assertion or lifecycle classification.</t>
  </si>
  <si>
    <t>Material source conflict, missing operative text, or unresolved identity/status question.</t>
  </si>
  <si>
    <t>FUTURE_WATCH</t>
  </si>
  <si>
    <t>Forward trigger that requires a later evidence check; not an accomplished event.</t>
  </si>
  <si>
    <t>EXCLUDED_OUT_OF_SCOPE</t>
  </si>
  <si>
    <t>Item excluded from the evidence register but documented in the exclusion log.</t>
  </si>
  <si>
    <t>Category taxonomy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</si>
</sst>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6" formatCode="yyyy\-mm\-dd\ hh:mm\ &quot;UTC&quot;"/>
    <numFmt numFmtId="167" formatCode="#,##0.0"/>
    <numFmt numFmtId="168" formatCode="yyyy\-mm\-dd\ hh:mm\ &quot;PKT&quot;"/>
  </numFmts>
  <fonts count="15" x14ac:knownFonts="1">
    <font>
      <sz val="11"/>
      <color theme="1"/>
      <name val="Calibri"/>
      <family val="2"/>
      <scheme val="minor"/>
    </font>
    <font>
      <sz val="10"/>
      <color rgb="FF22313B"/>
      <name val="Aptos"/>
    </font>
    <font>
      <b/>
      <sz val="10"/>
      <color rgb="FF0A5254"/>
      <name val="Aptos"/>
    </font>
    <font>
      <b/>
      <sz val="10"/>
      <color rgb="FF76520F"/>
      <name val="Aptos"/>
    </font>
    <font>
      <u/>
      <sz val="9"/>
      <color rgb="FF1D5C96"/>
      <name val="Aptos"/>
    </font>
    <font>
      <b/>
      <sz val="21"/>
      <color rgb="FFFFFFFF"/>
      <name val="Aptos Display"/>
    </font>
    <font>
      <i/>
      <sz val="10"/>
      <color rgb="FFFFFFFF"/>
      <name val="Aptos"/>
    </font>
    <font>
      <sz val="9"/>
      <color rgb="FF5E6C75"/>
      <name val="Aptos"/>
    </font>
    <font>
      <b/>
      <sz val="10"/>
      <color rgb="FFFFFFFF"/>
      <name val="Aptos"/>
    </font>
    <font>
      <b/>
      <sz val="11"/>
      <color rgb="FF22313B"/>
      <name val="Aptos"/>
    </font>
    <font>
      <b/>
      <sz val="9"/>
      <color rgb="FFFFFFFF"/>
      <name val="Aptos"/>
    </font>
    <font>
      <b/>
      <sz val="10"/>
      <color rgb="FF172A3A"/>
      <name val="Aptos"/>
    </font>
    <font>
      <b/>
      <sz val="10"/>
      <color rgb="FF22313B"/>
      <name val="Aptos"/>
    </font>
    <font>
      <b/>
      <sz val="9"/>
      <color rgb="FF172A3A"/>
      <name val="Aptos"/>
    </font>
    <font>
      <b/>
      <sz val="9"/>
      <color rgb="FF76520F"/>
      <name val="Aptos"/>
    </font>
  </fonts>
  <fills count="12">
    <fill>
      <patternFill patternType="none"/>
    </fill>
    <fill>
      <patternFill patternType="gray125"/>
    </fill>
    <fill>
      <patternFill patternType="solid">
        <fgColor rgb="FFE4F1F1"/>
      </patternFill>
    </fill>
    <fill>
      <patternFill patternType="solid">
        <fgColor rgb="FFF8EDCF"/>
      </patternFill>
    </fill>
    <fill>
      <patternFill patternType="solid">
        <fgColor rgb="FF172A3A"/>
      </patternFill>
    </fill>
    <fill>
      <patternFill patternType="solid">
        <fgColor rgb="FF0F6B6D"/>
      </patternFill>
    </fill>
    <fill>
      <patternFill patternType="solid">
        <fgColor rgb="FF0A5254"/>
      </patternFill>
    </fill>
    <fill>
      <patternFill patternType="solid">
        <fgColor rgb="FFF7F3EA"/>
      </patternFill>
    </fill>
    <fill>
      <patternFill patternType="solid">
        <fgColor rgb="FFF8EFD8"/>
      </patternFill>
    </fill>
    <fill>
      <patternFill patternType="solid">
        <fgColor rgb="FFE7F1E8"/>
      </patternFill>
    </fill>
    <fill>
      <patternFill patternType="solid">
        <fgColor rgb="FFF8E4E2"/>
      </patternFill>
    </fill>
    <fill>
      <patternFill patternType="solid">
        <fgColor rgb="FFE8EEF4"/>
      </patternFill>
    </fill>
  </fills>
  <borders count="7">
    <border>
      <left/>
      <right/>
      <top/>
      <bottom/>
      <diagonal/>
    </border>
    <border>
      <left/>
      <right/>
      <top/>
      <bottom/>
      <diagonal/>
    </border>
    <border>
      <left/>
      <right/>
      <top/>
      <bottom style="thin">
        <color rgb="FFCBD4D9"/>
      </bottom>
      <diagonal/>
    </border>
    <border>
      <left style="medium">
        <color rgb="FF172A3A"/>
      </left>
      <right style="thin">
        <color rgb="FFCBD4D9"/>
      </right>
      <top/>
      <bottom style="thin">
        <color rgb="FFCBD4D9"/>
      </bottom>
      <diagonal/>
    </border>
    <border>
      <left style="medium">
        <color rgb="FFC9952E"/>
      </left>
      <right/>
      <top/>
      <bottom style="thin">
        <color rgb="FFCBD4D9"/>
      </bottom>
      <diagonal/>
    </border>
    <border>
      <left/>
      <right/>
      <top/>
      <bottom style="medium">
        <color rgb="FF172A3A"/>
      </bottom>
      <diagonal/>
    </border>
    <border>
      <left/>
      <right/>
      <top/>
      <bottom style="thin">
        <color rgb="FFCBD4D9"/>
      </bottom>
      <diagonal/>
    </border>
  </borders>
  <cellStyleXfs count="5">
    <xf numFmtId="0" fontId="0" fillId="0" borderId="0"/>
    <xf numFmtId="0" fontId="1" fillId="0" borderId="1">
      <alignment vertical="top" wrapText="1"/>
    </xf>
    <xf numFmtId="0" fontId="2" fillId="2" borderId="2">
      <alignment horizontal="right" vertical="center"/>
    </xf>
    <xf numFmtId="0" fontId="3" fillId="3" borderId="2">
      <alignment horizontal="right" vertical="center"/>
    </xf>
    <xf numFmtId="0" fontId="4" fillId="0" borderId="1">
      <alignment vertical="top" wrapText="1"/>
    </xf>
  </cellStyleXfs>
  <cellXfs count="36">
    <xf numFmtId="0" fontId="0" fillId="0" borderId="0" xfId="0"/>
    <xf numFmtId="0" fontId="10" fillId="4" borderId="5" xfId="0" applyFont="1" applyFill="1" applyBorder="1" applyAlignment="1">
      <alignment horizontal="left" vertical="center" wrapText="1"/>
    </xf>
    <xf numFmtId="0" fontId="1" fillId="0" borderId="2" xfId="1" applyBorder="1">
      <alignment vertical="top" wrapText="1"/>
    </xf>
    <xf numFmtId="0" fontId="2" fillId="2" borderId="2" xfId="2">
      <alignment horizontal="right" vertical="center"/>
    </xf>
    <xf numFmtId="0" fontId="3" fillId="3" borderId="2" xfId="3">
      <alignment horizontal="right" vertical="center"/>
    </xf>
    <xf numFmtId="10" fontId="2" fillId="2" borderId="2" xfId="2" applyNumberFormat="1">
      <alignment horizontal="right" vertical="center"/>
    </xf>
    <xf numFmtId="0" fontId="4" fillId="0" borderId="2" xfId="4" applyBorder="1">
      <alignment vertical="top" wrapText="1"/>
    </xf>
    <xf numFmtId="164" fontId="1" fillId="0" borderId="2" xfId="1" applyNumberFormat="1" applyBorder="1">
      <alignment vertical="top" wrapText="1"/>
    </xf>
    <xf numFmtId="0" fontId="3" fillId="8" borderId="2" xfId="1" applyFont="1" applyFill="1" applyBorder="1">
      <alignment vertical="top" wrapText="1"/>
    </xf>
    <xf numFmtId="3" fontId="3" fillId="3" borderId="2" xfId="3" applyNumberFormat="1">
      <alignment horizontal="right" vertical="center"/>
    </xf>
    <xf numFmtId="3" fontId="2" fillId="2" borderId="2" xfId="2" applyNumberFormat="1">
      <alignment horizontal="right" vertical="center"/>
    </xf>
    <xf numFmtId="4" fontId="3" fillId="3" borderId="2" xfId="3" applyNumberFormat="1">
      <alignment horizontal="right" vertical="center"/>
    </xf>
    <xf numFmtId="166" fontId="1" fillId="0" borderId="2" xfId="1" applyNumberFormat="1" applyBorder="1">
      <alignment vertical="top" wrapText="1"/>
    </xf>
    <xf numFmtId="4" fontId="1" fillId="0" borderId="2" xfId="1" applyNumberFormat="1" applyBorder="1" applyAlignment="1">
      <alignment horizontal="right" vertical="top"/>
    </xf>
    <xf numFmtId="167" fontId="1" fillId="0" borderId="2" xfId="1" applyNumberFormat="1" applyBorder="1" applyAlignment="1">
      <alignment horizontal="right" vertical="top"/>
    </xf>
    <xf numFmtId="3" fontId="1" fillId="0" borderId="2" xfId="1" applyNumberFormat="1" applyBorder="1" applyAlignment="1">
      <alignment horizontal="right" vertical="top"/>
    </xf>
    <xf numFmtId="168" fontId="1" fillId="0" borderId="2" xfId="1" applyNumberFormat="1" applyBorder="1">
      <alignment vertical="top" wrapText="1"/>
    </xf>
    <xf numFmtId="0" fontId="14" fillId="8" borderId="2" xfId="1" applyFont="1" applyFill="1" applyBorder="1">
      <alignment vertical="top" wrapText="1"/>
    </xf>
    <xf numFmtId="0" fontId="11" fillId="0" borderId="2" xfId="1" applyFont="1" applyBorder="1">
      <alignment vertical="top" wrapText="1"/>
    </xf>
    <xf numFmtId="0" fontId="12" fillId="9" borderId="2" xfId="1" applyFont="1" applyFill="1" applyBorder="1">
      <alignment vertical="top" wrapText="1"/>
    </xf>
    <xf numFmtId="0" fontId="12" fillId="8" borderId="2" xfId="1" applyFont="1" applyFill="1" applyBorder="1">
      <alignment vertical="top" wrapText="1"/>
    </xf>
    <xf numFmtId="0" fontId="12" fillId="10" borderId="2" xfId="1" applyFont="1" applyFill="1" applyBorder="1">
      <alignment vertical="top" wrapText="1"/>
    </xf>
    <xf numFmtId="0" fontId="13" fillId="0" borderId="2" xfId="1" applyFont="1" applyBorder="1">
      <alignment vertical="top" wrapText="1"/>
    </xf>
    <xf numFmtId="0" fontId="1" fillId="0" borderId="2" xfId="1" applyBorder="1">
      <alignment vertical="top" wrapText="1"/>
    </xf>
    <xf numFmtId="0" fontId="0" fillId="0" borderId="0" xfId="0"/>
    <xf numFmtId="0" fontId="6" fillId="5" borderId="0" xfId="0" applyFont="1" applyFill="1" applyAlignment="1">
      <alignment horizontal="left" vertical="center" wrapText="1"/>
    </xf>
    <xf numFmtId="0" fontId="8" fillId="6" borderId="0" xfId="0" applyFont="1" applyFill="1" applyAlignment="1">
      <alignment horizontal="left" vertical="center"/>
    </xf>
    <xf numFmtId="0" fontId="9" fillId="7" borderId="3" xfId="0" applyFont="1" applyFill="1" applyBorder="1" applyAlignment="1">
      <alignment vertical="center" wrapText="1"/>
    </xf>
    <xf numFmtId="0" fontId="5" fillId="4" borderId="0" xfId="0" applyFont="1" applyFill="1" applyAlignment="1">
      <alignment horizontal="left" vertical="center"/>
    </xf>
    <xf numFmtId="0" fontId="8" fillId="4" borderId="0" xfId="0" applyFont="1" applyFill="1" applyAlignment="1">
      <alignment horizontal="left" vertical="center"/>
    </xf>
    <xf numFmtId="0" fontId="7" fillId="0" borderId="0" xfId="0" applyFont="1" applyAlignment="1">
      <alignment vertical="center" wrapText="1"/>
    </xf>
    <xf numFmtId="0" fontId="1" fillId="8" borderId="4" xfId="0" applyFont="1" applyFill="1" applyBorder="1" applyAlignment="1">
      <alignment vertical="center" wrapText="1"/>
    </xf>
    <xf numFmtId="0" fontId="0" fillId="0" borderId="6" xfId="0" applyBorder="1"/>
    <xf numFmtId="0" fontId="13" fillId="11" borderId="2"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0" fillId="4" borderId="5" xfId="0" applyFont="1" applyFill="1" applyBorder="1" applyAlignment="1">
      <alignment horizontal="left" vertical="center" wrapText="1"/>
    </xf>
  </cellXfs>
  <cellStyles count="5">
    <cellStyle name="Normal" xfId="0" builtinId="0"/>
    <cellStyle name="pkp_body" xfId="1" xr:uid="{00000000-0005-0000-0000-000001000000}"/>
    <cellStyle name="pkp_formula" xfId="2" xr:uid="{00000000-0005-0000-0000-000002000000}"/>
    <cellStyle name="pkp_input" xfId="3" xr:uid="{00000000-0005-0000-0000-000003000000}"/>
    <cellStyle name="pkp_link" xfId="4" xr:uid="{00000000-0005-0000-0000-000004000000}"/>
  </cellStyles>
  <dxfs count="12">
    <dxf>
      <fill>
        <patternFill patternType="solid">
          <fgColor rgb="FFF8E4E2"/>
        </patternFill>
      </fill>
    </dxf>
    <dxf>
      <fill>
        <patternFill patternType="solid">
          <fgColor rgb="FFE7F1E8"/>
        </patternFill>
      </fill>
    </dxf>
    <dxf>
      <font>
        <b/>
        <color rgb="FF2F6B3A"/>
        <name val="Aptos"/>
      </font>
      <fill>
        <patternFill patternType="solid">
          <fgColor rgb="FFE7F1E8"/>
        </patternFill>
      </fill>
    </dxf>
    <dxf>
      <font>
        <b/>
        <color rgb="FF9E2F2A"/>
        <name val="Aptos"/>
      </font>
      <fill>
        <patternFill patternType="solid">
          <fgColor rgb="FFF8E4E2"/>
        </patternFill>
      </fill>
    </dxf>
    <dxf>
      <font>
        <b/>
        <color rgb="FF22313B"/>
        <name val="Aptos"/>
      </font>
      <fill>
        <patternFill patternType="solid">
          <fgColor rgb="FFF8E4E2"/>
        </patternFill>
      </fill>
    </dxf>
    <dxf>
      <font>
        <b/>
        <color rgb="FF22313B"/>
        <name val="Aptos"/>
      </font>
      <fill>
        <patternFill patternType="solid">
          <fgColor rgb="FFE8EEF4"/>
        </patternFill>
      </fill>
    </dxf>
    <dxf>
      <font>
        <b/>
        <color rgb="FF22313B"/>
        <name val="Aptos"/>
      </font>
      <fill>
        <patternFill patternType="solid">
          <fgColor rgb="FFE4F1F1"/>
        </patternFill>
      </fill>
    </dxf>
    <dxf>
      <font>
        <b/>
        <color rgb="FF9E2F2A"/>
        <name val="Aptos"/>
      </font>
      <fill>
        <patternFill patternType="solid">
          <fgColor rgb="FFF8E4E2"/>
        </patternFill>
      </fill>
    </dxf>
    <dxf>
      <font>
        <b/>
        <color rgb="FF76520F"/>
        <name val="Aptos"/>
      </font>
      <fill>
        <patternFill patternType="solid">
          <fgColor rgb="FFF8EFD8"/>
        </patternFill>
      </fill>
    </dxf>
    <dxf>
      <font>
        <b/>
        <color rgb="FF2F6B3A"/>
        <name val="Aptos"/>
      </font>
      <fill>
        <patternFill patternType="solid">
          <fgColor rgb="FFE7F1E8"/>
        </patternFill>
      </fill>
    </dxf>
    <dxf>
      <font>
        <b/>
        <color rgb="FF9E2F2A"/>
        <name val="Aptos"/>
      </font>
      <fill>
        <patternFill patternType="solid">
          <fgColor rgb="FFF8E4E2"/>
        </patternFill>
      </fill>
    </dxf>
    <dxf>
      <font>
        <b/>
        <color rgb="FF2F6B3A"/>
        <name val="Aptos"/>
      </font>
      <fill>
        <patternFill patternType="solid">
          <fgColor rgb="FFE7F1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EvidenceRegister" displayName="tblEvidenceRegister" ref="A4:Z56">
  <autoFilter ref="A4:Z56" xr:uid="{00000000-0009-0000-0100-000001000000}"/>
  <tableColumns count="26">
    <tableColumn id="1" xr3:uid="{00000000-0010-0000-0000-000001000000}" name="Event ID"/>
    <tableColumn id="2" xr3:uid="{00000000-0010-0000-0000-000002000000}" name="Normalized Event Title"/>
    <tableColumn id="3" xr3:uid="{00000000-0010-0000-0000-000003000000}" name="Category"/>
    <tableColumn id="4" xr3:uid="{00000000-0010-0000-0000-000004000000}" name="Institution"/>
    <tableColumn id="5" xr3:uid="{00000000-0010-0000-0000-000005000000}" name="Geography"/>
    <tableColumn id="6" xr3:uid="{00000000-0010-0000-0000-000006000000}" name="Event Date"/>
    <tableColumn id="7" xr3:uid="{00000000-0010-0000-0000-000007000000}" name="Publication Date"/>
    <tableColumn id="8" xr3:uid="{00000000-0010-0000-0000-000008000000}" name="First Detected"/>
    <tableColumn id="9" xr3:uid="{00000000-0010-0000-0000-000009000000}" name="Last Updated"/>
    <tableColumn id="10" xr3:uid="{00000000-0010-0000-0000-00000A000000}" name="Briefing File References"/>
    <tableColumn id="11" xr3:uid="{00000000-0010-0000-0000-00000B000000}" name="Primary Source IDs"/>
    <tableColumn id="12" xr3:uid="{00000000-0010-0000-0000-00000C000000}" name="Primary Source URLs"/>
    <tableColumn id="13" xr3:uid="{00000000-0010-0000-0000-00000D000000}" name="Corroborating Source IDs"/>
    <tableColumn id="14" xr3:uid="{00000000-0010-0000-0000-00000E000000}" name="Corroborating Source URLs"/>
    <tableColumn id="15" xr3:uid="{00000000-0010-0000-0000-00000F000000}" name="Status"/>
    <tableColumn id="16" xr3:uid="{00000000-0010-0000-0000-000010000000}" name="Verified Facts"/>
    <tableColumn id="17" xr3:uid="{00000000-0010-0000-0000-000011000000}" name="Source Claims"/>
    <tableColumn id="18" xr3:uid="{00000000-0010-0000-0000-000012000000}" name="What Changed"/>
    <tableColumn id="19" xr3:uid="{00000000-0010-0000-0000-000013000000}" name="Significance"/>
    <tableColumn id="20" xr3:uid="{00000000-0010-0000-0000-000014000000}" name="Analytical Interpretation"/>
    <tableColumn id="21" xr3:uid="{00000000-0010-0000-0000-000015000000}" name="Forward Implications"/>
    <tableColumn id="22" xr3:uid="{00000000-0010-0000-0000-000016000000}" name="Confidence"/>
    <tableColumn id="23" xr3:uid="{00000000-0010-0000-0000-000017000000}" name="Confidence Reason"/>
    <tableColumn id="24" xr3:uid="{00000000-0010-0000-0000-000018000000}" name="Unresolved Issues"/>
    <tableColumn id="25" xr3:uid="{00000000-0010-0000-0000-000019000000}" name="Inclusion Decision"/>
    <tableColumn id="26" xr3:uid="{00000000-0010-0000-0000-00001A000000}" name="Lifecyc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overageGaps" displayName="tblCoverageGaps" ref="A28:H41">
  <autoFilter ref="A28:H41" xr:uid="{00000000-0009-0000-0100-000002000000}"/>
  <tableColumns count="8">
    <tableColumn id="1" xr3:uid="{00000000-0010-0000-0100-000001000000}" name="From Briefing"/>
    <tableColumn id="2" xr3:uid="{00000000-0010-0000-0100-000002000000}" name="To Briefing"/>
    <tableColumn id="3" xr3:uid="{00000000-0010-0000-0100-000003000000}" name="Gap Start UTC"/>
    <tableColumn id="4" xr3:uid="{00000000-0010-0000-0100-000004000000}" name="Gap End UTC"/>
    <tableColumn id="5" xr3:uid="{00000000-0010-0000-0100-000005000000}" name="Gap Minutes"/>
    <tableColumn id="6" xr3:uid="{00000000-0010-0000-0100-000006000000}" name="Gap Hours"/>
    <tableColumn id="7" xr3:uid="{00000000-0010-0000-0100-000007000000}" name="Approximate Missing 15M Runs"/>
    <tableColumn id="8" xr3:uid="{00000000-0010-0000-0100-000008000000}" name="Material Ga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Exclusions" displayName="tblExclusions" ref="A4:E17">
  <autoFilter ref="A4:E17" xr:uid="{00000000-0009-0000-0100-000003000000}"/>
  <tableColumns count="5">
    <tableColumn id="1" xr3:uid="{00000000-0010-0000-0200-000001000000}" name="Item ID"/>
    <tableColumn id="2" xr3:uid="{00000000-0010-0000-0200-000002000000}" name="Item"/>
    <tableColumn id="3" xr3:uid="{00000000-0010-0000-0200-000003000000}" name="Type"/>
    <tableColumn id="4" xr3:uid="{00000000-0010-0000-0200-000004000000}" name="Reason"/>
    <tableColumn id="5" xr3:uid="{00000000-0010-0000-0200-000005000000}" name="Disposi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BriefingUnits" displayName="tblBriefingUnits" ref="A4:K18">
  <autoFilter ref="A4:K18" xr:uid="{00000000-0009-0000-0100-000004000000}"/>
  <tableColumns count="11">
    <tableColumn id="1" xr3:uid="{00000000-0010-0000-0300-000001000000}" name="Briefing ID"/>
    <tableColumn id="2" xr3:uid="{00000000-0010-0000-0300-000002000000}" name="Source File"/>
    <tableColumn id="3" xr3:uid="{00000000-0010-0000-0300-000003000000}" name="Source Subunit"/>
    <tableColumn id="4" xr3:uid="{00000000-0010-0000-0300-000004000000}" name="Nominal Date"/>
    <tableColumn id="5" xr3:uid="{00000000-0010-0000-0300-000005000000}" name="Window Start UTC"/>
    <tableColumn id="6" xr3:uid="{00000000-0010-0000-0300-000006000000}" name="Window End UTC"/>
    <tableColumn id="7" xr3:uid="{00000000-0010-0000-0300-000007000000}" name="Window Start PKT"/>
    <tableColumn id="8" xr3:uid="{00000000-0010-0000-0300-000008000000}" name="Window End PKT"/>
    <tableColumn id="9" xr3:uid="{00000000-0010-0000-0300-000009000000}" name="Timestamp Basis"/>
    <tableColumn id="10" xr3:uid="{00000000-0010-0000-0300-00000A000000}" name="Timing Issues"/>
    <tableColumn id="11" xr3:uid="{00000000-0010-0000-0300-00000B000000}" name="Source File SHA-25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ources" displayName="tblSources" ref="A4:J115">
  <autoFilter ref="A4:J115" xr:uid="{00000000-0009-0000-0100-000005000000}"/>
  <tableColumns count="10">
    <tableColumn id="1" xr3:uid="{00000000-0010-0000-0400-000001000000}" name="Source ID"/>
    <tableColumn id="2" xr3:uid="{00000000-0010-0000-0400-000002000000}" name="Publisher"/>
    <tableColumn id="3" xr3:uid="{00000000-0010-0000-0400-000003000000}" name="Document Title"/>
    <tableColumn id="4" xr3:uid="{00000000-0010-0000-0400-000004000000}" name="URL"/>
    <tableColumn id="5" xr3:uid="{00000000-0010-0000-0400-000005000000}" name="Source Type"/>
    <tableColumn id="6" xr3:uid="{00000000-0010-0000-0400-000006000000}" name="Publication Date"/>
    <tableColumn id="7" xr3:uid="{00000000-0010-0000-0400-000007000000}" name="Event Date"/>
    <tableColumn id="8" xr3:uid="{00000000-0010-0000-0400-000008000000}" name="Access Date UTC"/>
    <tableColumn id="9" xr3:uid="{00000000-0010-0000-0400-000009000000}" name="Availability"/>
    <tableColumn id="10" xr3:uid="{00000000-0010-0000-0400-00000A000000}" name="Limitation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Watchlist" displayName="tblWatchlist" ref="A4:F18">
  <autoFilter ref="A4:F18" xr:uid="{00000000-0009-0000-0100-000006000000}"/>
  <tableColumns count="6">
    <tableColumn id="1" xr3:uid="{00000000-0010-0000-0500-000001000000}" name="Watch ID"/>
    <tableColumn id="2" xr3:uid="{00000000-0010-0000-0500-000002000000}" name="Date Or Trigger"/>
    <tableColumn id="3" xr3:uid="{00000000-0010-0000-0500-000003000000}" name="Topic"/>
    <tableColumn id="4" xr3:uid="{00000000-0010-0000-0500-000004000000}" name="What To Verify"/>
    <tableColumn id="5" xr3:uid="{00000000-0010-0000-0500-000005000000}" name="Source ID"/>
    <tableColumn id="6" xr3:uid="{00000000-0010-0000-0500-000006000000}" name="Source UR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FileInventory" displayName="tblFileInventory" ref="A4:Q17">
  <autoFilter ref="A4:Q17" xr:uid="{00000000-0009-0000-0100-000007000000}"/>
  <tableColumns count="17">
    <tableColumn id="1" xr3:uid="{00000000-0010-0000-0600-000001000000}" name="Source File"/>
    <tableColumn id="2" xr3:uid="{00000000-0010-0000-0600-000002000000}" name="Format"/>
    <tableColumn id="3" xr3:uid="{00000000-0010-0000-0600-000003000000}" name="Detected Type"/>
    <tableColumn id="4" xr3:uid="{00000000-0010-0000-0600-000004000000}" name="Bytes"/>
    <tableColumn id="5" xr3:uid="{00000000-0010-0000-0600-000005000000}" name="Filesystem Birthtime"/>
    <tableColumn id="6" xr3:uid="{00000000-0010-0000-0600-000006000000}" name="Filesystem Mtime"/>
    <tableColumn id="7" xr3:uid="{00000000-0010-0000-0600-000007000000}" name="SHA-256"/>
    <tableColumn id="8" xr3:uid="{00000000-0010-0000-0600-000008000000}" name="Readable"/>
    <tableColumn id="9" xr3:uid="{00000000-0010-0000-0600-000009000000}" name="Container Status"/>
    <tableColumn id="10" xr3:uid="{00000000-0010-0000-0600-00000A000000}" name="Internal Title"/>
    <tableColumn id="11" xr3:uid="{00000000-0010-0000-0600-00000B000000}" name="Internal Creator"/>
    <tableColumn id="12" xr3:uid="{00000000-0010-0000-0600-00000C000000}" name="Internal Created"/>
    <tableColumn id="13" xr3:uid="{00000000-0010-0000-0600-00000D000000}" name="Internal Modified"/>
    <tableColumn id="14" xr3:uid="{00000000-0010-0000-0600-00000E000000}" name="Apparent Briefing Units"/>
    <tableColumn id="15" xr3:uid="{00000000-0010-0000-0600-00000F000000}" name="Apparent Coverage UTC"/>
    <tableColumn id="16" xr3:uid="{00000000-0010-0000-0600-000010000000}" name="Inclusion Decision"/>
    <tableColumn id="17" xr3:uid="{00000000-0010-0000-0600-000011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app.com.pk/punjab/maryam-delivers-thought-provoking-address-at-big-data-industry-expo/" TargetMode="External"/><Relationship Id="rId18" Type="http://schemas.openxmlformats.org/officeDocument/2006/relationships/hyperlink" Target="https://dgipr.kp.gov.pk/world-bank-delegation-meets-khyber-pakhtunkhwa-government-to-discuss-it-digital-infrastructure-and-energy-initiatives/" TargetMode="External"/><Relationship Id="rId26" Type="http://schemas.openxmlformats.org/officeDocument/2006/relationships/hyperlink" Target="https://www.radio.gov.pk/30-07-2025/federal-cabinet-approves-hajj-policy-2026-artificial-intelligence-policy-2025" TargetMode="External"/><Relationship Id="rId39" Type="http://schemas.openxmlformats.org/officeDocument/2006/relationships/vmlDrawing" Target="../drawings/vmlDrawing2.vml"/><Relationship Id="rId21" Type="http://schemas.openxmlformats.org/officeDocument/2006/relationships/hyperlink" Target="https://nca.gov.sa/ar/news/2581/" TargetMode="External"/><Relationship Id="rId34" Type="http://schemas.openxmlformats.org/officeDocument/2006/relationships/hyperlink" Target="https://pitb.gov.pk/tendernotices" TargetMode="External"/><Relationship Id="rId7" Type="http://schemas.openxmlformats.org/officeDocument/2006/relationships/hyperlink" Target="https://epms.ppra.gov.pk/public/tenders/tender-details/TS0000010535E" TargetMode="External"/><Relationship Id="rId2" Type="http://schemas.openxmlformats.org/officeDocument/2006/relationships/hyperlink" Target="https://www.pakp.gov.pk/bill/the-khyber-pakhtunkhwa-promotion-of-digital-payments-bill-2026/" TargetMode="External"/><Relationship Id="rId16" Type="http://schemas.openxmlformats.org/officeDocument/2006/relationships/hyperlink" Target="https://www.app.com.pk/punjab/punjab-cm-huawei-agree-to-expand-ai-digital-cooperation/" TargetMode="External"/><Relationship Id="rId20" Type="http://schemas.openxmlformats.org/officeDocument/2006/relationships/hyperlink" Target="https://www.app.com.pk/national/shaza-meets-saudi-minister-of-communications-and-information-technology/" TargetMode="External"/><Relationship Id="rId29" Type="http://schemas.openxmlformats.org/officeDocument/2006/relationships/hyperlink" Target="https://standards.dnp.gov.pk/register.html" TargetMode="External"/><Relationship Id="rId41" Type="http://schemas.openxmlformats.org/officeDocument/2006/relationships/comments" Target="../comments2.xml"/><Relationship Id="rId1" Type="http://schemas.openxmlformats.org/officeDocument/2006/relationships/hyperlink" Target="https://pid.gov.pk/site/press_detail/33684" TargetMode="External"/><Relationship Id="rId6" Type="http://schemas.openxmlformats.org/officeDocument/2006/relationships/hyperlink" Target="https://www.app.com.pk/national/nadra-fbise-sign-agreement-to-integrate-student-registration-educational-certificates-system/" TargetMode="External"/><Relationship Id="rId11" Type="http://schemas.openxmlformats.org/officeDocument/2006/relationships/hyperlink" Target="https://pid.gov.pk/site/press_detail/33671" TargetMode="External"/><Relationship Id="rId24" Type="http://schemas.openxmlformats.org/officeDocument/2006/relationships/hyperlink" Target="https://www.arabnews.pk/pakistan/minister-tells-saudi-expo-pakistan-will-share-digital-infrastructure-free-with-emerging-economies-3000008" TargetMode="External"/><Relationship Id="rId32" Type="http://schemas.openxmlformats.org/officeDocument/2006/relationships/hyperlink" Target="https://pitb.gov.pk/tendernotices" TargetMode="External"/><Relationship Id="rId37" Type="http://schemas.openxmlformats.org/officeDocument/2006/relationships/hyperlink" Target="https://www.radio.gov.pk/24-07-2026/pm-field-marshal-inaugurate-sky47-karakorum-01-data-centre" TargetMode="External"/><Relationship Id="rId40" Type="http://schemas.openxmlformats.org/officeDocument/2006/relationships/table" Target="../tables/table1.xml"/><Relationship Id="rId5" Type="http://schemas.openxmlformats.org/officeDocument/2006/relationships/hyperlink" Target="https://humenglish.com/latest/punjab-assembly-passes-resolution-to-ban-social-media-accounts-for-under-16s/" TargetMode="External"/><Relationship Id="rId15" Type="http://schemas.openxmlformats.org/officeDocument/2006/relationships/hyperlink" Target="https://tribune.com.pk/story/2626183/citizen-facilitation-centres-planned?amp=1" TargetMode="External"/><Relationship Id="rId23" Type="http://schemas.openxmlformats.org/officeDocument/2006/relationships/hyperlink" Target="https://moitt.gov.pk/NewsDetail/NWI0ZjIwOTctYzc1Ny00NzBkLTliNGQtMzc2NWQxOTQyMzlk" TargetMode="External"/><Relationship Id="rId28" Type="http://schemas.openxmlformats.org/officeDocument/2006/relationships/hyperlink" Target="https://www.dawn.com/news/2022051/cabinet-okays-housing-policy-cybersecurity-framework" TargetMode="External"/><Relationship Id="rId36" Type="http://schemas.openxmlformats.org/officeDocument/2006/relationships/hyperlink" Target="https://www.difc.com/whats-on/news/difcs-dubai-fintech-summit-expands-globally-with-pakistan-digital-authority" TargetMode="External"/><Relationship Id="rId10" Type="http://schemas.openxmlformats.org/officeDocument/2006/relationships/hyperlink" Target="https://epms.ppra.gov.pk/public/contracts/contract-details/PCN-3884318406" TargetMode="External"/><Relationship Id="rId19" Type="http://schemas.openxmlformats.org/officeDocument/2006/relationships/hyperlink" Target="https://www.brecorder.com/news/40437177/advisor-cs-kp-world-bank-team-discuss-it-digital-infrastructure-list-6" TargetMode="External"/><Relationship Id="rId31" Type="http://schemas.openxmlformats.org/officeDocument/2006/relationships/hyperlink" Target="https://epms.ppra.gov.pk/public/tenders/tender-details/TS0000010170E" TargetMode="External"/><Relationship Id="rId4" Type="http://schemas.openxmlformats.org/officeDocument/2006/relationships/hyperlink" Target="https://dgipr.kp.gov.pk/sc-27-8-26/" TargetMode="External"/><Relationship Id="rId9" Type="http://schemas.openxmlformats.org/officeDocument/2006/relationships/hyperlink" Target="https://www.ungm.org/Public/Notice/310156" TargetMode="External"/><Relationship Id="rId14" Type="http://schemas.openxmlformats.org/officeDocument/2006/relationships/hyperlink" Target="https://dgipr.kp.gov.pk/stit-28-8-26/" TargetMode="External"/><Relationship Id="rId22" Type="http://schemas.openxmlformats.org/officeDocument/2006/relationships/hyperlink" Target="https://www.app.com.pk/national/pakistan-saudi-arabia-agree-to-strengthen-cooperation-in-ai-data-governance/" TargetMode="External"/><Relationship Id="rId27" Type="http://schemas.openxmlformats.org/officeDocument/2006/relationships/hyperlink" Target="https://www.senate.gov.pk/en/billsummary.php?bid=1544" TargetMode="External"/><Relationship Id="rId30" Type="http://schemas.openxmlformats.org/officeDocument/2006/relationships/hyperlink" Target="https://www.pc.gov.pk/web/press/get_press/1702" TargetMode="External"/><Relationship Id="rId35" Type="http://schemas.openxmlformats.org/officeDocument/2006/relationships/hyperlink" Target="https://pitb.gov.pk/system/files/BD_ITOPS_23_Corrigen_Published.pdf" TargetMode="External"/><Relationship Id="rId8" Type="http://schemas.openxmlformats.org/officeDocument/2006/relationships/hyperlink" Target="https://epms.ppra.gov.pk/public/tenders/tender-details/TS0000010591E" TargetMode="External"/><Relationship Id="rId3" Type="http://schemas.openxmlformats.org/officeDocument/2006/relationships/hyperlink" Target="https://tribune.com.pk/story/2625229/k-p-assembly-approves-digital-payments-bill" TargetMode="External"/><Relationship Id="rId12" Type="http://schemas.openxmlformats.org/officeDocument/2006/relationships/hyperlink" Target="https://www.linkedin.com/posts/sky47limited_sky47-resecurity-cybersecurity-activity-7498665122295517184-fA11" TargetMode="External"/><Relationship Id="rId17" Type="http://schemas.openxmlformats.org/officeDocument/2006/relationships/hyperlink" Target="https://www.brecorder.com/news/40436971/punjab-huawei-agree-to-expand-ai-digital-cooperation" TargetMode="External"/><Relationship Id="rId25" Type="http://schemas.openxmlformats.org/officeDocument/2006/relationships/hyperlink" Target="https://auqaf.punjab.gov.pk/node/835" TargetMode="External"/><Relationship Id="rId33" Type="http://schemas.openxmlformats.org/officeDocument/2006/relationships/hyperlink" Target="https://pitb.gov.pk/system/files/BD_DC-11_Corrigen-Published.pdf" TargetMode="External"/><Relationship Id="rId38" Type="http://schemas.openxmlformats.org/officeDocument/2006/relationships/hyperlink" Target="https://support.google.com/google-ads/answer/2375370?hl=en-GB"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6" Type="http://schemas.openxmlformats.org/officeDocument/2006/relationships/hyperlink" Target="https://www.senate.gov.pk/en/gbna.php?catid=186&amp;cattitle=Bills&amp;leftcatid=279&amp;subcatid=276" TargetMode="External"/><Relationship Id="rId21" Type="http://schemas.openxmlformats.org/officeDocument/2006/relationships/hyperlink" Target="https://radio.gov.pk/22-08-2026/pakistan-introduces-transparent-regulatory-system-for-digital-economy" TargetMode="External"/><Relationship Id="rId42" Type="http://schemas.openxmlformats.org/officeDocument/2006/relationships/hyperlink" Target="https://epms.ppra.gov.pk/public/evaluations?page=4" TargetMode="External"/><Relationship Id="rId47" Type="http://schemas.openxmlformats.org/officeDocument/2006/relationships/hyperlink" Target="https://www.ungm.org/Public/Notice/310156" TargetMode="External"/><Relationship Id="rId63" Type="http://schemas.openxmlformats.org/officeDocument/2006/relationships/hyperlink" Target="https://dgipr.kp.gov.pk/world-bank-delegation-meets-khyber-pakhtunkhwa-government-to-discuss-it-digital-infrastructure-and-energy-initiatives/" TargetMode="External"/><Relationship Id="rId68" Type="http://schemas.openxmlformats.org/officeDocument/2006/relationships/hyperlink" Target="https://www.pc.gov.pk/web/press/get_press/1702" TargetMode="External"/><Relationship Id="rId84" Type="http://schemas.openxmlformats.org/officeDocument/2006/relationships/hyperlink" Target="https://www.google.com/about/careers/applications/jobs/results?location=Pakistan" TargetMode="External"/><Relationship Id="rId89" Type="http://schemas.openxmlformats.org/officeDocument/2006/relationships/hyperlink" Target="https://techdestination.com/wp-content/uploads/2025/09/Request-for-Proposal-NSHRDP-SERC-Procurement-2.51.pdf" TargetMode="External"/><Relationship Id="rId112" Type="http://schemas.openxmlformats.org/officeDocument/2006/relationships/vmlDrawing" Target="../drawings/vmlDrawing4.vml"/><Relationship Id="rId16" Type="http://schemas.openxmlformats.org/officeDocument/2006/relationships/hyperlink" Target="https://standards.dnp.gov.pk/register.html" TargetMode="External"/><Relationship Id="rId107" Type="http://schemas.openxmlformats.org/officeDocument/2006/relationships/hyperlink" Target="https://pc.gov.pk/uploads/archives/PSDP_2026-27_Final.pdf" TargetMode="External"/><Relationship Id="rId11" Type="http://schemas.openxmlformats.org/officeDocument/2006/relationships/hyperlink" Target="https://pda.gov.pk/press-details.php?id=from-fragmentation-to-federation" TargetMode="External"/><Relationship Id="rId32" Type="http://schemas.openxmlformats.org/officeDocument/2006/relationships/hyperlink" Target="https://humenglish.com/latest/punjab-assembly-passes-resolution-to-ban-social-media-accounts-for-under-16s/" TargetMode="External"/><Relationship Id="rId37" Type="http://schemas.openxmlformats.org/officeDocument/2006/relationships/hyperlink" Target="https://epads.gov.pk/opportunities/federal/procurements/71677" TargetMode="External"/><Relationship Id="rId53" Type="http://schemas.openxmlformats.org/officeDocument/2006/relationships/hyperlink" Target="https://www.datacenterdynamics.com/en/news/pakistani-operator-sky47-inaugurates-85mw-data-center-in-islamabad/" TargetMode="External"/><Relationship Id="rId58" Type="http://schemas.openxmlformats.org/officeDocument/2006/relationships/hyperlink" Target="https://www.app.com.pk/punjab/maryam-delivers-thought-provoking-address-at-big-data-industry-expo/" TargetMode="External"/><Relationship Id="rId74" Type="http://schemas.openxmlformats.org/officeDocument/2006/relationships/hyperlink" Target="https://pid.gov.pk/site/press_detail/33638" TargetMode="External"/><Relationship Id="rId79" Type="http://schemas.openxmlformats.org/officeDocument/2006/relationships/hyperlink" Target="https://pid.gov.pk/site/press_detail/33645" TargetMode="External"/><Relationship Id="rId102" Type="http://schemas.openxmlformats.org/officeDocument/2006/relationships/hyperlink" Target="https://www.secp.gov.pk/laws/circulars/" TargetMode="External"/><Relationship Id="rId5" Type="http://schemas.openxmlformats.org/officeDocument/2006/relationships/hyperlink" Target="https://www.moitt.gov.pk/Legislations" TargetMode="External"/><Relationship Id="rId90" Type="http://schemas.openxmlformats.org/officeDocument/2006/relationships/hyperlink" Target="https://pid.gov.pk/site/press_detail/32338" TargetMode="External"/><Relationship Id="rId95" Type="http://schemas.openxmlformats.org/officeDocument/2006/relationships/hyperlink" Target="https://www.brecorder.com/news/40437177/advisor-cs-kp-world-bank-team-discuss-it-digital-infrastructure-list-6" TargetMode="External"/><Relationship Id="rId22" Type="http://schemas.openxmlformats.org/officeDocument/2006/relationships/hyperlink" Target="https://pkcert.gov.pk/advisories.asp" TargetMode="External"/><Relationship Id="rId27" Type="http://schemas.openxmlformats.org/officeDocument/2006/relationships/hyperlink" Target="https://www.pakp.gov.pk/bill/the-khyber-pakhtunkhwa-promotion-of-digital-payments-bill-2026/" TargetMode="External"/><Relationship Id="rId43" Type="http://schemas.openxmlformats.org/officeDocument/2006/relationships/hyperlink" Target="https://epms.ppra.gov.pk/public/tenders/tender-details/TS0000011207E" TargetMode="External"/><Relationship Id="rId48" Type="http://schemas.openxmlformats.org/officeDocument/2006/relationships/hyperlink" Target="https://jazz.com.pk/media-center/detail/jazz-becomes-first-operator-to-reach-1000-5g-sites" TargetMode="External"/><Relationship Id="rId64" Type="http://schemas.openxmlformats.org/officeDocument/2006/relationships/hyperlink" Target="https://www.app.com.pk/national/shaza-meets-saudi-minister-of-communications-and-information-technology/" TargetMode="External"/><Relationship Id="rId69" Type="http://schemas.openxmlformats.org/officeDocument/2006/relationships/hyperlink" Target="https://epms.ppra.gov.pk/public/tenders/tender-details/TS0000010170E" TargetMode="External"/><Relationship Id="rId113" Type="http://schemas.openxmlformats.org/officeDocument/2006/relationships/table" Target="../tables/table5.xml"/><Relationship Id="rId80" Type="http://schemas.openxmlformats.org/officeDocument/2006/relationships/hyperlink" Target="https://support.google.com/google-ads/answer/2375370?hl=en-GB" TargetMode="External"/><Relationship Id="rId85" Type="http://schemas.openxmlformats.org/officeDocument/2006/relationships/hyperlink" Target="https://www.na.gov.pk/en/acts.php" TargetMode="External"/><Relationship Id="rId12" Type="http://schemas.openxmlformats.org/officeDocument/2006/relationships/hyperlink" Target="https://www.moib.gov.pk/News/66315" TargetMode="External"/><Relationship Id="rId17" Type="http://schemas.openxmlformats.org/officeDocument/2006/relationships/hyperlink" Target="https://pvara.gov.pk/regulations" TargetMode="External"/><Relationship Id="rId33" Type="http://schemas.openxmlformats.org/officeDocument/2006/relationships/hyperlink" Target="https://www.dawn.com/news/2026379" TargetMode="External"/><Relationship Id="rId38" Type="http://schemas.openxmlformats.org/officeDocument/2006/relationships/hyperlink" Target="https://epms.ppra.gov.pk/public/tenders/tender-details/TS0000006913E" TargetMode="External"/><Relationship Id="rId59" Type="http://schemas.openxmlformats.org/officeDocument/2006/relationships/hyperlink" Target="https://dgipr.kp.gov.pk/stit-28-8-26/" TargetMode="External"/><Relationship Id="rId103" Type="http://schemas.openxmlformats.org/officeDocument/2006/relationships/hyperlink" Target="https://www.dawn.com/news/2025777" TargetMode="External"/><Relationship Id="rId108" Type="http://schemas.openxmlformats.org/officeDocument/2006/relationships/hyperlink" Target="https://pc.gov.pk/uploads/annualplan/Annual-Plan-2026-27.pdf" TargetMode="External"/><Relationship Id="rId54" Type="http://schemas.openxmlformats.org/officeDocument/2006/relationships/hyperlink" Target="https://dps.psx.com.pk/download/document/254563.pdf" TargetMode="External"/><Relationship Id="rId70" Type="http://schemas.openxmlformats.org/officeDocument/2006/relationships/hyperlink" Target="https://pitb.gov.pk/tendernotices" TargetMode="External"/><Relationship Id="rId75" Type="http://schemas.openxmlformats.org/officeDocument/2006/relationships/hyperlink" Target="https://pda.gov.pk/press-details.php?id=google-opens-office-in-pakistan" TargetMode="External"/><Relationship Id="rId91" Type="http://schemas.openxmlformats.org/officeDocument/2006/relationships/hyperlink" Target="https://tribune.com.pk/story/2626183/citizen-facilitation-centres-planned?amp=1" TargetMode="External"/><Relationship Id="rId96" Type="http://schemas.openxmlformats.org/officeDocument/2006/relationships/hyperlink" Target="https://nca.gov.sa/ar/news/2581/" TargetMode="External"/><Relationship Id="rId1" Type="http://schemas.openxmlformats.org/officeDocument/2006/relationships/hyperlink" Target="https://www.moitt.gov.pk/Policies" TargetMode="External"/><Relationship Id="rId6" Type="http://schemas.openxmlformats.org/officeDocument/2006/relationships/hyperlink" Target="https://na.gov.pk/uploads/documents/6a1d62bdce349_708.pdf" TargetMode="External"/><Relationship Id="rId15" Type="http://schemas.openxmlformats.org/officeDocument/2006/relationships/hyperlink" Target="https://www.dawn.com/news/2022051/cabinet-okays-housing-policy-cybersecurity-framework" TargetMode="External"/><Relationship Id="rId23" Type="http://schemas.openxmlformats.org/officeDocument/2006/relationships/hyperlink" Target="https://pkcert.gov.pk/advisory/26/16.pdf" TargetMode="External"/><Relationship Id="rId28" Type="http://schemas.openxmlformats.org/officeDocument/2006/relationships/hyperlink" Target="https://tribune.com.pk/story/2625229/k-p-assembly-approves-digital-payments-bill" TargetMode="External"/><Relationship Id="rId36" Type="http://schemas.openxmlformats.org/officeDocument/2006/relationships/hyperlink" Target="https://epms.ppra.gov.pk/public/tenders/tender-details/TS0000010287E" TargetMode="External"/><Relationship Id="rId49" Type="http://schemas.openxmlformats.org/officeDocument/2006/relationships/hyperlink" Target="https://jazz.com.pk/media-center/detail/jazz-secures-190-mhz-spectrum-to-accelerate-pakistans-5g-future" TargetMode="External"/><Relationship Id="rId57" Type="http://schemas.openxmlformats.org/officeDocument/2006/relationships/hyperlink" Target="https://www.neduet.edu.pk/content/events" TargetMode="External"/><Relationship Id="rId106" Type="http://schemas.openxmlformats.org/officeDocument/2006/relationships/hyperlink" Target="https://pc.gov.pk/uploads/pub/Monthly-Development-Update-July-2026.pdf" TargetMode="External"/><Relationship Id="rId114" Type="http://schemas.openxmlformats.org/officeDocument/2006/relationships/comments" Target="../comments4.xml"/><Relationship Id="rId10" Type="http://schemas.openxmlformats.org/officeDocument/2006/relationships/hyperlink" Target="https://pda.gov.pk/press-details.php?id=pda-dgp-consultation" TargetMode="External"/><Relationship Id="rId31" Type="http://schemas.openxmlformats.org/officeDocument/2006/relationships/hyperlink" Target="https://superlawpk.com/archives/12908" TargetMode="External"/><Relationship Id="rId44" Type="http://schemas.openxmlformats.org/officeDocument/2006/relationships/hyperlink" Target="https://epads.gov.pk/federal/annual-plan/procurement/2473/7564/2026-27" TargetMode="External"/><Relationship Id="rId52" Type="http://schemas.openxmlformats.org/officeDocument/2006/relationships/hyperlink" Target="https://www.radio.gov.pk/24-07-2026/pm-field-marshal-inaugurate-sky47-karakorum-01-data-centre" TargetMode="External"/><Relationship Id="rId60" Type="http://schemas.openxmlformats.org/officeDocument/2006/relationships/hyperlink" Target="https://www.brecorder.com/news/40436971/punjab-huawei-agree-to-expand-ai-digital-cooperation" TargetMode="External"/><Relationship Id="rId65" Type="http://schemas.openxmlformats.org/officeDocument/2006/relationships/hyperlink" Target="https://www.arabnews.pk/pakistan/minister-tells-saudi-expo-pakistan-will-share-digital-infrastructure-free-with-emerging-economies-3000008" TargetMode="External"/><Relationship Id="rId73" Type="http://schemas.openxmlformats.org/officeDocument/2006/relationships/hyperlink" Target="https://www.difc.com/whats-on/news/difcs-dubai-fintech-summit-expands-globally-with-pakistan-digital-authority" TargetMode="External"/><Relationship Id="rId78" Type="http://schemas.openxmlformats.org/officeDocument/2006/relationships/hyperlink" Target="https://www.moib.gov.pk/News/66341" TargetMode="External"/><Relationship Id="rId81" Type="http://schemas.openxmlformats.org/officeDocument/2006/relationships/hyperlink" Target="https://about.google/company-info/locations/" TargetMode="External"/><Relationship Id="rId86" Type="http://schemas.openxmlformats.org/officeDocument/2006/relationships/hyperlink" Target="https://www.linkedin.com/posts/sky47limited_sky47-resecurity-cybersecurity-activity-7498665122295517184-fA11" TargetMode="External"/><Relationship Id="rId94" Type="http://schemas.openxmlformats.org/officeDocument/2006/relationships/hyperlink" Target="https://radio.gov.pk/24-05-2026/pakistan-alibaba-group-ink-agreements-to-boost-digital-economy-cooperation" TargetMode="External"/><Relationship Id="rId99" Type="http://schemas.openxmlformats.org/officeDocument/2006/relationships/hyperlink" Target="https://moitt.gov.pk/NewsDetail/NWI0ZjIwOTctYzc1Ny00NzBkLTliNGQtMzc2NWQxOTQyMzlk" TargetMode="External"/><Relationship Id="rId101" Type="http://schemas.openxmlformats.org/officeDocument/2006/relationships/hyperlink" Target="https://www.secp.gov.pk/document/circular-no-19-of-2026-consolidated-framework-for-investor-onboarding-secp-regulated-persons/" TargetMode="External"/><Relationship Id="rId4" Type="http://schemas.openxmlformats.org/officeDocument/2006/relationships/hyperlink" Target="https://www.senate.gov.pk/en/billsummary.php?bid=1544" TargetMode="External"/><Relationship Id="rId9" Type="http://schemas.openxmlformats.org/officeDocument/2006/relationships/hyperlink" Target="https://www.pda.gov.pk/press-details.php?id=data-governance-policy" TargetMode="External"/><Relationship Id="rId13" Type="http://schemas.openxmlformats.org/officeDocument/2006/relationships/hyperlink" Target="https://pkcert.gov.pk/grc-policies.asp" TargetMode="External"/><Relationship Id="rId18" Type="http://schemas.openxmlformats.org/officeDocument/2006/relationships/hyperlink" Target="https://pvara.gov.pk/documents/Pakistan%20Virtual%20Asset%20Services%20Regulations,%202026%20-%20Notified%2021%20August%202026.pdf" TargetMode="External"/><Relationship Id="rId39" Type="http://schemas.openxmlformats.org/officeDocument/2006/relationships/hyperlink" Target="https://epms.ppra.gov.pk/public/evaluations?page=7" TargetMode="External"/><Relationship Id="rId109" Type="http://schemas.openxmlformats.org/officeDocument/2006/relationships/hyperlink" Target="https://www.app.com.pk/national/pakistan-saudi-arabia-agree-to-strengthen-cooperation-in-ai-data-governance/" TargetMode="External"/><Relationship Id="rId34" Type="http://schemas.openxmlformats.org/officeDocument/2006/relationships/hyperlink" Target="https://www.brecorder.com/news/40437291/social-media-age-verification-ihc-direct-authorities-to-submit-reply" TargetMode="External"/><Relationship Id="rId50" Type="http://schemas.openxmlformats.org/officeDocument/2006/relationships/hyperlink" Target="https://epms.ppra.gov.pk/public/contracts/contract-details/PCN-3884318406" TargetMode="External"/><Relationship Id="rId55" Type="http://schemas.openxmlformats.org/officeDocument/2006/relationships/hyperlink" Target="https://www.dawn.com/news/2025965/resecurity-and-sky47-partner-to-enable-sovereign-cybersecurity-and-ai-infrastructure-in-pakistan" TargetMode="External"/><Relationship Id="rId76" Type="http://schemas.openxmlformats.org/officeDocument/2006/relationships/hyperlink" Target="https://www.dawn.com/news/2023681" TargetMode="External"/><Relationship Id="rId97" Type="http://schemas.openxmlformats.org/officeDocument/2006/relationships/hyperlink" Target="https://www.radio.gov.pk/02-09-2026/pakistan-saudi-arabia-sign-mou-in-area-of-cybersecurity" TargetMode="External"/><Relationship Id="rId104" Type="http://schemas.openxmlformats.org/officeDocument/2006/relationships/hyperlink" Target="https://www.brecorder.com/news/40436941" TargetMode="External"/><Relationship Id="rId7" Type="http://schemas.openxmlformats.org/officeDocument/2006/relationships/hyperlink" Target="https://senate.gov.pk/en/pbs.php?catid=1&amp;cattitle=Bills&amp;leftcatid=278&amp;subcatid=276" TargetMode="External"/><Relationship Id="rId71" Type="http://schemas.openxmlformats.org/officeDocument/2006/relationships/hyperlink" Target="https://pitb.gov.pk/system/files/BD_DC-11_Corrigen-Published.pdf" TargetMode="External"/><Relationship Id="rId92" Type="http://schemas.openxmlformats.org/officeDocument/2006/relationships/hyperlink" Target="https://www.app.com.pk/punjab/punjab-cm-huawei-agree-to-expand-ai-digital-cooperation/" TargetMode="External"/><Relationship Id="rId2" Type="http://schemas.openxmlformats.org/officeDocument/2006/relationships/hyperlink" Target="https://www.moitt.gov.pk/SiteImage/Policies/National%20AI%20Policy.pdf" TargetMode="External"/><Relationship Id="rId29" Type="http://schemas.openxmlformats.org/officeDocument/2006/relationships/hyperlink" Target="https://dgipr.kp.gov.pk/sc-27-8-26/" TargetMode="External"/><Relationship Id="rId24" Type="http://schemas.openxmlformats.org/officeDocument/2006/relationships/hyperlink" Target="https://pkcert.gov.pk/advisory/26/17.pdf" TargetMode="External"/><Relationship Id="rId40" Type="http://schemas.openxmlformats.org/officeDocument/2006/relationships/hyperlink" Target="https://epms.ppra.gov.pk/public/tenders/tender-details/TS0000010237E" TargetMode="External"/><Relationship Id="rId45" Type="http://schemas.openxmlformats.org/officeDocument/2006/relationships/hyperlink" Target="https://epms.ppra.gov.pk/public/tenders/tender-details/TS0000010535E" TargetMode="External"/><Relationship Id="rId66" Type="http://schemas.openxmlformats.org/officeDocument/2006/relationships/hyperlink" Target="https://auqaf.punjab.gov.pk/node/835" TargetMode="External"/><Relationship Id="rId87" Type="http://schemas.openxmlformats.org/officeDocument/2006/relationships/hyperlink" Target="https://c-suite.exchange/sky47-and-resecurity-sign-mou-to-strengthen-cybersecurity-collaboration/" TargetMode="External"/><Relationship Id="rId110" Type="http://schemas.openxmlformats.org/officeDocument/2006/relationships/hyperlink" Target="https://epms.ppra.gov.pk/public/tenders/tender-details/TS0000011042E" TargetMode="External"/><Relationship Id="rId61" Type="http://schemas.openxmlformats.org/officeDocument/2006/relationships/hyperlink" Target="https://www.app.com.pk/punjab/alibaba-cloud-shows-keen-interest-in-punjabs-it-sector-cm-maryam-invites-chinese-ai-collaboration/" TargetMode="External"/><Relationship Id="rId82" Type="http://schemas.openxmlformats.org/officeDocument/2006/relationships/hyperlink" Target="https://cloud.google.com/about/locations" TargetMode="External"/><Relationship Id="rId19" Type="http://schemas.openxmlformats.org/officeDocument/2006/relationships/hyperlink" Target="https://pvara.gov.pk/documents/Pakistan%20Virtual%20Asset%20Services%20Activity%20Specific%20Regulations,%202026%20-%20Notified%2021%20August%202026.pdf" TargetMode="External"/><Relationship Id="rId14" Type="http://schemas.openxmlformats.org/officeDocument/2006/relationships/hyperlink" Target="https://pkcert.gov.pk/uploads/2026/03/PISF_Merged-Version.pdf" TargetMode="External"/><Relationship Id="rId30" Type="http://schemas.openxmlformats.org/officeDocument/2006/relationships/hyperlink" Target="https://www.secp.gov.pk/" TargetMode="External"/><Relationship Id="rId35" Type="http://schemas.openxmlformats.org/officeDocument/2006/relationships/hyperlink" Target="https://www.app.com.pk/national/nadra-fbise-sign-agreement-to-integrate-student-registration-educational-certificates-system/" TargetMode="External"/><Relationship Id="rId56" Type="http://schemas.openxmlformats.org/officeDocument/2006/relationships/hyperlink" Target="https://www.moitt.gov.pk/NewsDetail/MTJmOTg2OGQtOTNlYi00MDZjLTk0MDktNGRiMmQzMTEzYTdm" TargetMode="External"/><Relationship Id="rId77" Type="http://schemas.openxmlformats.org/officeDocument/2006/relationships/hyperlink" Target="https://pid.gov.pk/site/press_detail/33684" TargetMode="External"/><Relationship Id="rId100" Type="http://schemas.openxmlformats.org/officeDocument/2006/relationships/hyperlink" Target="https://www.app.com.pk/business/punjab-industries-minister-chairs-pbte-board-meeting/" TargetMode="External"/><Relationship Id="rId105" Type="http://schemas.openxmlformats.org/officeDocument/2006/relationships/hyperlink" Target="https://pid.gov.pk/site/press_detail/33093" TargetMode="External"/><Relationship Id="rId8" Type="http://schemas.openxmlformats.org/officeDocument/2006/relationships/hyperlink" Target="https://senate.gov.pk/en/acts.php" TargetMode="External"/><Relationship Id="rId51" Type="http://schemas.openxmlformats.org/officeDocument/2006/relationships/hyperlink" Target="https://pid.gov.pk/site/press_detail/33671" TargetMode="External"/><Relationship Id="rId72" Type="http://schemas.openxmlformats.org/officeDocument/2006/relationships/hyperlink" Target="https://pitb.gov.pk/system/files/BD_ITOPS_23_Corrigen_Published.pdf" TargetMode="External"/><Relationship Id="rId93" Type="http://schemas.openxmlformats.org/officeDocument/2006/relationships/hyperlink" Target="https://tribune.com.pk/story/2626664/chinese-firm-shows-interest-in-punjab-it-sector?amp=1" TargetMode="External"/><Relationship Id="rId98" Type="http://schemas.openxmlformats.org/officeDocument/2006/relationships/hyperlink" Target="https://www.app.com.pk/national/pakistan-saudi-arabia-sign-cybersecurity-agreement/" TargetMode="External"/><Relationship Id="rId3" Type="http://schemas.openxmlformats.org/officeDocument/2006/relationships/hyperlink" Target="https://www.radio.gov.pk/30-07-2025/federal-cabinet-approves-hajj-policy-2026-artificial-intelligence-policy-2025" TargetMode="External"/><Relationship Id="rId25" Type="http://schemas.openxmlformats.org/officeDocument/2006/relationships/hyperlink" Target="https://pid.gov.pk/site/press_detail/33741" TargetMode="External"/><Relationship Id="rId46" Type="http://schemas.openxmlformats.org/officeDocument/2006/relationships/hyperlink" Target="https://epms.ppra.gov.pk/public/tenders/tender-details/TS0000010591E" TargetMode="External"/><Relationship Id="rId67" Type="http://schemas.openxmlformats.org/officeDocument/2006/relationships/hyperlink" Target="https://vid.app.com.pk/vid/2026/09/%D8%B5%D9%88%D8%A8%D8%A7%D8%A6%DB%8C-%D9%88%D8%B2%DB%8C%D8%B1-%D8%B5%D9%86%D8%B9%D8%AA-%D9%88-%D8%AA%D8%AC%D8%A7%D8%B1%D8%AA-%DA%86%D9%88%D8%AF%DA%BE%D8%B1%DB%8C-%D8%B4%D8%A7%D9%81%D8%B9-%D8%AD-41/" TargetMode="External"/><Relationship Id="rId20" Type="http://schemas.openxmlformats.org/officeDocument/2006/relationships/hyperlink" Target="https://pvara.gov.pk/licensing" TargetMode="External"/><Relationship Id="rId41" Type="http://schemas.openxmlformats.org/officeDocument/2006/relationships/hyperlink" Target="https://epms.ppra.gov.pk/public/evaluations?page=1" TargetMode="External"/><Relationship Id="rId62" Type="http://schemas.openxmlformats.org/officeDocument/2006/relationships/hyperlink" Target="https://radio.gov.pk/30-08-2026/ai-being-integrated-into-governance-system-in-punjab-cm" TargetMode="External"/><Relationship Id="rId83" Type="http://schemas.openxmlformats.org/officeDocument/2006/relationships/hyperlink" Target="https://datacenters.google/locations/" TargetMode="External"/><Relationship Id="rId88" Type="http://schemas.openxmlformats.org/officeDocument/2006/relationships/hyperlink" Target="https://pid.gov.pk/site/press_detail/33749" TargetMode="External"/><Relationship Id="rId111" Type="http://schemas.openxmlformats.org/officeDocument/2006/relationships/hyperlink" Target="https://epms.ppra.gov.pk/public/tenders/tender-details/TS0000012358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moitt.gov.pk/Policies" TargetMode="External"/><Relationship Id="rId13" Type="http://schemas.openxmlformats.org/officeDocument/2006/relationships/hyperlink" Target="https://pitb.gov.pk/tendernotices" TargetMode="External"/><Relationship Id="rId3" Type="http://schemas.openxmlformats.org/officeDocument/2006/relationships/hyperlink" Target="https://epms.ppra.gov.pk/public/tenders/tender-details/TS0000011042E" TargetMode="External"/><Relationship Id="rId7" Type="http://schemas.openxmlformats.org/officeDocument/2006/relationships/hyperlink" Target="https://support.google.com/google-ads/answer/2375370?hl=en-GB" TargetMode="External"/><Relationship Id="rId12" Type="http://schemas.openxmlformats.org/officeDocument/2006/relationships/hyperlink" Target="https://www.app.com.pk/national/nadra-fbise-sign-agreement-to-integrate-student-registration-educational-certificates-system/" TargetMode="External"/><Relationship Id="rId2" Type="http://schemas.openxmlformats.org/officeDocument/2006/relationships/hyperlink" Target="https://www.ungm.org/Public/Notice/310156" TargetMode="External"/><Relationship Id="rId1" Type="http://schemas.openxmlformats.org/officeDocument/2006/relationships/hyperlink" Target="https://pvara.gov.pk/licensing" TargetMode="External"/><Relationship Id="rId6" Type="http://schemas.openxmlformats.org/officeDocument/2006/relationships/hyperlink" Target="https://dps.psx.com.pk/download/document/254563.pdf" TargetMode="External"/><Relationship Id="rId11" Type="http://schemas.openxmlformats.org/officeDocument/2006/relationships/hyperlink" Target="https://www.dawn.com/news/2026379" TargetMode="External"/><Relationship Id="rId5" Type="http://schemas.openxmlformats.org/officeDocument/2006/relationships/hyperlink" Target="https://epms.ppra.gov.pk/public/tenders/tender-details/TS0000012358E" TargetMode="External"/><Relationship Id="rId10" Type="http://schemas.openxmlformats.org/officeDocument/2006/relationships/hyperlink" Target="https://about.google/company-info/locations/" TargetMode="External"/><Relationship Id="rId4" Type="http://schemas.openxmlformats.org/officeDocument/2006/relationships/hyperlink" Target="https://epms.ppra.gov.pk/public/tenders/tender-details/TS0000010170E" TargetMode="External"/><Relationship Id="rId9" Type="http://schemas.openxmlformats.org/officeDocument/2006/relationships/hyperlink" Target="https://epms.ppra.gov.pk/public/evaluations?page=1" TargetMode="External"/><Relationship Id="rId1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952E"/>
    <pageSetUpPr fitToPage="1"/>
  </sheetPr>
  <dimension ref="A1:I45"/>
  <sheetViews>
    <sheetView showGridLines="0" tabSelected="1" zoomScale="90" zoomScaleNormal="90" workbookViewId="0">
      <pane ySplit="4" topLeftCell="A5" activePane="bottomLeft" state="frozen"/>
      <selection pane="bottomLeft" sqref="A1:I1"/>
    </sheetView>
  </sheetViews>
  <sheetFormatPr baseColWidth="10" defaultColWidth="8.83203125" defaultRowHeight="15" x14ac:dyDescent="0.2"/>
  <cols>
    <col min="1" max="1" width="31" customWidth="1"/>
    <col min="2" max="2" width="15" customWidth="1"/>
    <col min="3" max="3" width="12" customWidth="1"/>
    <col min="4" max="4" width="13" customWidth="1"/>
    <col min="5" max="5" width="16" customWidth="1"/>
    <col min="6" max="6" width="3" customWidth="1"/>
    <col min="7" max="7" width="25" customWidth="1"/>
    <col min="8" max="8" width="17" customWidth="1"/>
    <col min="9" max="9" width="43" customWidth="1"/>
  </cols>
  <sheetData>
    <row r="1" spans="1:9" ht="33" customHeight="1" x14ac:dyDescent="0.2">
      <c r="A1" s="28" t="s">
        <v>0</v>
      </c>
      <c r="B1" s="24"/>
      <c r="C1" s="24"/>
      <c r="D1" s="24"/>
      <c r="E1" s="24"/>
      <c r="F1" s="24"/>
      <c r="G1" s="24"/>
      <c r="H1" s="24"/>
      <c r="I1" s="24"/>
    </row>
    <row r="2" spans="1:9" ht="30" customHeight="1" x14ac:dyDescent="0.2">
      <c r="A2" s="25" t="s">
        <v>1</v>
      </c>
      <c r="B2" s="24"/>
      <c r="C2" s="24"/>
      <c r="D2" s="24"/>
      <c r="E2" s="24"/>
      <c r="F2" s="24"/>
      <c r="G2" s="24"/>
      <c r="H2" s="24"/>
      <c r="I2" s="24"/>
    </row>
    <row r="3" spans="1:9" ht="24" customHeight="1" x14ac:dyDescent="0.2">
      <c r="A3" s="30" t="s">
        <v>2</v>
      </c>
      <c r="B3" s="24"/>
      <c r="C3" s="24"/>
      <c r="D3" s="24"/>
      <c r="E3" s="24"/>
      <c r="F3" s="24"/>
      <c r="G3" s="24"/>
      <c r="H3" s="24"/>
      <c r="I3" s="24"/>
    </row>
    <row r="5" spans="1:9" ht="22" customHeight="1" x14ac:dyDescent="0.2">
      <c r="A5" s="26" t="s">
        <v>3</v>
      </c>
      <c r="B5" s="24"/>
      <c r="C5" s="24"/>
      <c r="D5" s="24"/>
      <c r="E5" s="24"/>
      <c r="F5" s="24"/>
      <c r="G5" s="24"/>
      <c r="H5" s="24"/>
      <c r="I5" s="24"/>
    </row>
    <row r="6" spans="1:9" ht="28" customHeight="1" x14ac:dyDescent="0.2">
      <c r="A6" s="27" t="s">
        <v>4</v>
      </c>
      <c r="B6" s="24"/>
      <c r="C6" s="24"/>
      <c r="D6" s="24"/>
      <c r="E6" s="24"/>
      <c r="F6" s="24"/>
      <c r="G6" s="24"/>
      <c r="H6" s="24"/>
      <c r="I6" s="24"/>
    </row>
    <row r="7" spans="1:9" ht="28" customHeight="1" x14ac:dyDescent="0.2">
      <c r="A7" s="24"/>
      <c r="B7" s="24"/>
      <c r="C7" s="24"/>
      <c r="D7" s="24"/>
      <c r="E7" s="24"/>
      <c r="F7" s="24"/>
      <c r="G7" s="24"/>
      <c r="H7" s="24"/>
      <c r="I7" s="24"/>
    </row>
    <row r="8" spans="1:9" ht="34" customHeight="1" x14ac:dyDescent="0.2">
      <c r="A8" s="31" t="s">
        <v>5</v>
      </c>
      <c r="B8" s="24"/>
      <c r="C8" s="24"/>
      <c r="D8" s="24"/>
      <c r="E8" s="24"/>
      <c r="F8" s="24"/>
      <c r="G8" s="24"/>
      <c r="H8" s="24"/>
      <c r="I8" s="24"/>
    </row>
    <row r="9" spans="1:9" ht="34" customHeight="1" x14ac:dyDescent="0.2">
      <c r="A9" s="24"/>
      <c r="B9" s="24"/>
      <c r="C9" s="24"/>
      <c r="D9" s="24"/>
      <c r="E9" s="24"/>
      <c r="F9" s="24"/>
      <c r="G9" s="24"/>
      <c r="H9" s="24"/>
      <c r="I9" s="24"/>
    </row>
    <row r="11" spans="1:9" ht="22" customHeight="1" x14ac:dyDescent="0.2">
      <c r="A11" s="29" t="s">
        <v>6</v>
      </c>
      <c r="B11" s="24"/>
      <c r="C11" s="24"/>
      <c r="D11" s="24"/>
      <c r="E11" s="24"/>
      <c r="G11" s="26" t="s">
        <v>7</v>
      </c>
      <c r="H11" s="24"/>
      <c r="I11" s="24"/>
    </row>
    <row r="12" spans="1:9" ht="28" customHeight="1" x14ac:dyDescent="0.2">
      <c r="A12" s="1" t="s">
        <v>8</v>
      </c>
      <c r="B12" s="1" t="s">
        <v>9</v>
      </c>
      <c r="C12" s="1" t="s">
        <v>10</v>
      </c>
      <c r="D12" s="1" t="s">
        <v>11</v>
      </c>
      <c r="E12" s="1" t="s">
        <v>12</v>
      </c>
      <c r="G12" s="1" t="s">
        <v>13</v>
      </c>
      <c r="H12" s="1" t="s">
        <v>9</v>
      </c>
      <c r="I12" s="1" t="s">
        <v>14</v>
      </c>
    </row>
    <row r="13" spans="1:9" ht="30" customHeight="1" x14ac:dyDescent="0.2">
      <c r="A13" s="2" t="s">
        <v>15</v>
      </c>
      <c r="B13" s="3">
        <f>COUNTA('Evidence Register'!$A$5:$A$56)</f>
        <v>52</v>
      </c>
      <c r="C13" s="2" t="s">
        <v>16</v>
      </c>
      <c r="D13" s="4">
        <v>52</v>
      </c>
      <c r="E13" s="3" t="str">
        <f t="shared" ref="E13:E24" si="0">IF(B13=D13,"PASS","CHECK")</f>
        <v>PASS</v>
      </c>
      <c r="G13" s="2" t="s">
        <v>17</v>
      </c>
      <c r="H13" s="3">
        <f>'Coverage &amp; Gaps'!$B$6</f>
        <v>1440</v>
      </c>
      <c r="I13" s="2" t="s">
        <v>18</v>
      </c>
    </row>
    <row r="14" spans="1:9" ht="30" customHeight="1" x14ac:dyDescent="0.2">
      <c r="A14" s="2" t="s">
        <v>19</v>
      </c>
      <c r="B14" s="3">
        <f>COUNTIF('Evidence Register'!$A$5:$A$56,"EVT-*")</f>
        <v>36</v>
      </c>
      <c r="C14" s="2" t="s">
        <v>16</v>
      </c>
      <c r="D14" s="4">
        <v>36</v>
      </c>
      <c r="E14" s="3" t="str">
        <f t="shared" si="0"/>
        <v>PASS</v>
      </c>
      <c r="G14" s="2" t="s">
        <v>20</v>
      </c>
      <c r="H14" s="3">
        <f>'Coverage &amp; Gaps'!$B$7</f>
        <v>14</v>
      </c>
      <c r="I14" s="2" t="s">
        <v>21</v>
      </c>
    </row>
    <row r="15" spans="1:9" ht="30" customHeight="1" x14ac:dyDescent="0.2">
      <c r="A15" s="2" t="s">
        <v>22</v>
      </c>
      <c r="B15" s="3">
        <f>COUNTIF('Evidence Register'!$A$5:$A$56,"BASE-*")</f>
        <v>16</v>
      </c>
      <c r="C15" s="2" t="s">
        <v>16</v>
      </c>
      <c r="D15" s="4">
        <v>16</v>
      </c>
      <c r="E15" s="3" t="str">
        <f t="shared" si="0"/>
        <v>PASS</v>
      </c>
      <c r="G15" s="2" t="s">
        <v>23</v>
      </c>
      <c r="H15" s="3">
        <f>'Coverage &amp; Gaps'!$B$8</f>
        <v>1426</v>
      </c>
      <c r="I15" s="2" t="s">
        <v>24</v>
      </c>
    </row>
    <row r="16" spans="1:9" ht="30" customHeight="1" x14ac:dyDescent="0.2">
      <c r="A16" s="2" t="s">
        <v>25</v>
      </c>
      <c r="B16" s="3">
        <f>COUNTIFS('Evidence Register'!$A$5:$A$56,"BASE-*",'Evidence Register'!$Z$5:$Z$56,"BASELINE_CARRY_IN")</f>
        <v>13</v>
      </c>
      <c r="C16" s="2" t="s">
        <v>16</v>
      </c>
      <c r="D16" s="4">
        <v>13</v>
      </c>
      <c r="E16" s="3" t="str">
        <f t="shared" si="0"/>
        <v>PASS</v>
      </c>
      <c r="G16" s="2" t="s">
        <v>26</v>
      </c>
      <c r="H16" s="5">
        <f>'Coverage &amp; Gaps'!$B$9</f>
        <v>9.7222222222222224E-3</v>
      </c>
      <c r="I16" s="2" t="s">
        <v>27</v>
      </c>
    </row>
    <row r="17" spans="1:9" ht="30" customHeight="1" x14ac:dyDescent="0.2">
      <c r="A17" s="2" t="s">
        <v>28</v>
      </c>
      <c r="B17" s="3">
        <f>COUNTIFS('Evidence Register'!$A$5:$A$56,"BASE-*",'Evidence Register'!$Z$5:$Z$56,"CONTRADICTED_OR_UNRESOLVED")</f>
        <v>3</v>
      </c>
      <c r="C17" s="2" t="s">
        <v>16</v>
      </c>
      <c r="D17" s="4">
        <v>3</v>
      </c>
      <c r="E17" s="3" t="str">
        <f t="shared" si="0"/>
        <v>PASS</v>
      </c>
      <c r="G17" s="2" t="s">
        <v>29</v>
      </c>
      <c r="H17" s="5">
        <f>'Coverage &amp; Gaps'!$B$12</f>
        <v>9.8024253985556607E-3</v>
      </c>
      <c r="I17" s="2" t="s">
        <v>30</v>
      </c>
    </row>
    <row r="18" spans="1:9" ht="30" customHeight="1" x14ac:dyDescent="0.2">
      <c r="A18" s="2" t="s">
        <v>31</v>
      </c>
      <c r="B18" s="3">
        <f>COUNTA(Sources!$A$5:$A$115)</f>
        <v>111</v>
      </c>
      <c r="C18" s="2" t="s">
        <v>16</v>
      </c>
      <c r="D18" s="4">
        <v>111</v>
      </c>
      <c r="E18" s="3" t="str">
        <f t="shared" si="0"/>
        <v>PASS</v>
      </c>
      <c r="G18" s="2" t="s">
        <v>32</v>
      </c>
      <c r="H18" s="2" t="s">
        <v>33</v>
      </c>
      <c r="I18" s="2" t="s">
        <v>34</v>
      </c>
    </row>
    <row r="19" spans="1:9" ht="25" customHeight="1" x14ac:dyDescent="0.2">
      <c r="A19" s="2" t="s">
        <v>35</v>
      </c>
      <c r="B19" s="3">
        <f>COUNTA('Briefing Units'!$A$5:$A$18)</f>
        <v>14</v>
      </c>
      <c r="C19" s="2" t="s">
        <v>36</v>
      </c>
      <c r="D19" s="4">
        <v>14</v>
      </c>
      <c r="E19" s="3" t="str">
        <f t="shared" si="0"/>
        <v>PASS</v>
      </c>
    </row>
    <row r="20" spans="1:9" ht="25" customHeight="1" x14ac:dyDescent="0.2">
      <c r="A20" s="2" t="s">
        <v>37</v>
      </c>
      <c r="B20" s="3">
        <f>COUNTA(Exclusions!$A$5:$A$17)</f>
        <v>13</v>
      </c>
      <c r="C20" s="2" t="s">
        <v>38</v>
      </c>
      <c r="D20" s="4">
        <v>13</v>
      </c>
      <c r="E20" s="3" t="str">
        <f t="shared" si="0"/>
        <v>PASS</v>
      </c>
    </row>
    <row r="21" spans="1:9" ht="25" customHeight="1" x14ac:dyDescent="0.2">
      <c r="A21" s="2" t="s">
        <v>39</v>
      </c>
      <c r="B21" s="3">
        <f>COUNTA(Watchlist!$A$5:$A$18)</f>
        <v>14</v>
      </c>
      <c r="C21" s="2" t="s">
        <v>38</v>
      </c>
      <c r="D21" s="4">
        <v>14</v>
      </c>
      <c r="E21" s="3" t="str">
        <f t="shared" si="0"/>
        <v>PASS</v>
      </c>
    </row>
    <row r="22" spans="1:9" ht="25" customHeight="1" x14ac:dyDescent="0.2">
      <c r="A22" s="2" t="s">
        <v>40</v>
      </c>
      <c r="B22" s="3">
        <f>COUNTIF('Evidence Register'!$V$5:$V$56,"High")</f>
        <v>32</v>
      </c>
      <c r="C22" s="2" t="s">
        <v>16</v>
      </c>
      <c r="D22" s="4">
        <v>32</v>
      </c>
      <c r="E22" s="3" t="str">
        <f t="shared" si="0"/>
        <v>PASS</v>
      </c>
    </row>
    <row r="23" spans="1:9" ht="25" customHeight="1" x14ac:dyDescent="0.2">
      <c r="A23" s="2" t="s">
        <v>41</v>
      </c>
      <c r="B23" s="3">
        <f>COUNTIF('Evidence Register'!$V$5:$V$56,"Medium")</f>
        <v>16</v>
      </c>
      <c r="C23" s="2" t="s">
        <v>16</v>
      </c>
      <c r="D23" s="4">
        <v>16</v>
      </c>
      <c r="E23" s="3" t="str">
        <f t="shared" si="0"/>
        <v>PASS</v>
      </c>
    </row>
    <row r="24" spans="1:9" ht="25" customHeight="1" x14ac:dyDescent="0.2">
      <c r="A24" s="2" t="s">
        <v>42</v>
      </c>
      <c r="B24" s="3">
        <f>COUNTIF('Evidence Register'!$V$5:$V$56,"Low")</f>
        <v>4</v>
      </c>
      <c r="C24" s="2" t="s">
        <v>16</v>
      </c>
      <c r="D24" s="4">
        <v>4</v>
      </c>
      <c r="E24" s="3" t="str">
        <f t="shared" si="0"/>
        <v>PASS</v>
      </c>
    </row>
    <row r="27" spans="1:9" ht="22" customHeight="1" x14ac:dyDescent="0.2">
      <c r="A27" s="29" t="s">
        <v>43</v>
      </c>
      <c r="B27" s="24"/>
      <c r="C27" s="24"/>
      <c r="D27" s="24"/>
      <c r="E27" s="24"/>
      <c r="F27" s="24"/>
      <c r="G27" s="24"/>
      <c r="H27" s="24"/>
      <c r="I27" s="24"/>
    </row>
    <row r="28" spans="1:9" x14ac:dyDescent="0.2">
      <c r="A28" s="1" t="s">
        <v>44</v>
      </c>
      <c r="B28" s="1" t="s">
        <v>45</v>
      </c>
      <c r="C28" s="1" t="s">
        <v>46</v>
      </c>
      <c r="G28" s="1" t="s">
        <v>47</v>
      </c>
      <c r="H28" s="1" t="s">
        <v>48</v>
      </c>
      <c r="I28" s="1" t="s">
        <v>49</v>
      </c>
    </row>
    <row r="29" spans="1:9" ht="44" customHeight="1" x14ac:dyDescent="0.2">
      <c r="A29" s="2" t="s">
        <v>50</v>
      </c>
      <c r="B29" s="2" t="s">
        <v>51</v>
      </c>
      <c r="C29" s="2" t="s">
        <v>52</v>
      </c>
      <c r="G29" s="2">
        <v>1</v>
      </c>
      <c r="H29" s="2" t="s">
        <v>53</v>
      </c>
      <c r="I29" s="2" t="s">
        <v>54</v>
      </c>
    </row>
    <row r="30" spans="1:9" ht="44" customHeight="1" x14ac:dyDescent="0.2">
      <c r="A30" s="2" t="s">
        <v>55</v>
      </c>
      <c r="B30" s="2" t="s">
        <v>56</v>
      </c>
      <c r="C30" s="2" t="s">
        <v>57</v>
      </c>
      <c r="G30" s="2">
        <v>2</v>
      </c>
      <c r="H30" s="2" t="s">
        <v>58</v>
      </c>
      <c r="I30" s="2" t="s">
        <v>59</v>
      </c>
    </row>
    <row r="31" spans="1:9" ht="44" customHeight="1" x14ac:dyDescent="0.2">
      <c r="A31" s="2" t="s">
        <v>14</v>
      </c>
      <c r="B31" s="2" t="s">
        <v>60</v>
      </c>
      <c r="C31" s="2" t="s">
        <v>61</v>
      </c>
      <c r="G31" s="2">
        <v>3</v>
      </c>
      <c r="H31" s="2" t="s">
        <v>62</v>
      </c>
      <c r="I31" s="2" t="s">
        <v>63</v>
      </c>
    </row>
    <row r="32" spans="1:9" ht="44" customHeight="1" x14ac:dyDescent="0.2">
      <c r="A32" s="2" t="s">
        <v>64</v>
      </c>
      <c r="B32" s="2" t="s">
        <v>65</v>
      </c>
      <c r="C32" s="2" t="s">
        <v>66</v>
      </c>
      <c r="G32" s="2">
        <v>4</v>
      </c>
      <c r="H32" s="2" t="s">
        <v>67</v>
      </c>
      <c r="I32" s="2" t="s">
        <v>68</v>
      </c>
    </row>
    <row r="33" spans="1:9" ht="44" customHeight="1" x14ac:dyDescent="0.2">
      <c r="A33" s="2" t="s">
        <v>69</v>
      </c>
      <c r="B33" s="2" t="s">
        <v>70</v>
      </c>
      <c r="C33" s="2" t="s">
        <v>71</v>
      </c>
    </row>
    <row r="34" spans="1:9" ht="44" customHeight="1" x14ac:dyDescent="0.2">
      <c r="A34" s="2" t="s">
        <v>72</v>
      </c>
      <c r="B34" s="2" t="s">
        <v>73</v>
      </c>
      <c r="C34" s="2" t="s">
        <v>74</v>
      </c>
    </row>
    <row r="37" spans="1:9" ht="22" customHeight="1" x14ac:dyDescent="0.2">
      <c r="A37" s="26" t="s">
        <v>75</v>
      </c>
      <c r="B37" s="24"/>
      <c r="C37" s="24"/>
      <c r="D37" s="24"/>
      <c r="E37" s="24"/>
      <c r="F37" s="24"/>
      <c r="G37" s="24"/>
      <c r="H37" s="24"/>
      <c r="I37" s="24"/>
    </row>
    <row r="38" spans="1:9" ht="34" customHeight="1" x14ac:dyDescent="0.2">
      <c r="A38" s="6" t="s">
        <v>76</v>
      </c>
      <c r="B38" s="23" t="s">
        <v>77</v>
      </c>
      <c r="C38" s="24"/>
      <c r="D38" s="24"/>
      <c r="E38" s="24"/>
      <c r="F38" s="24"/>
      <c r="G38" s="24"/>
      <c r="H38" s="24"/>
      <c r="I38" s="24"/>
    </row>
    <row r="39" spans="1:9" ht="34" customHeight="1" x14ac:dyDescent="0.2">
      <c r="A39" s="6" t="s">
        <v>78</v>
      </c>
      <c r="B39" s="23" t="s">
        <v>79</v>
      </c>
      <c r="C39" s="24"/>
      <c r="D39" s="24"/>
      <c r="E39" s="24"/>
      <c r="F39" s="24"/>
      <c r="G39" s="24"/>
      <c r="H39" s="24"/>
      <c r="I39" s="24"/>
    </row>
    <row r="40" spans="1:9" ht="34" customHeight="1" x14ac:dyDescent="0.2">
      <c r="A40" s="6" t="s">
        <v>37</v>
      </c>
      <c r="B40" s="23" t="s">
        <v>80</v>
      </c>
      <c r="C40" s="24"/>
      <c r="D40" s="24"/>
      <c r="E40" s="24"/>
      <c r="F40" s="24"/>
      <c r="G40" s="24"/>
      <c r="H40" s="24"/>
      <c r="I40" s="24"/>
    </row>
    <row r="41" spans="1:9" ht="34" customHeight="1" x14ac:dyDescent="0.2">
      <c r="A41" s="6" t="s">
        <v>81</v>
      </c>
      <c r="B41" s="23" t="s">
        <v>82</v>
      </c>
      <c r="C41" s="24"/>
      <c r="D41" s="24"/>
      <c r="E41" s="24"/>
      <c r="F41" s="24"/>
      <c r="G41" s="24"/>
      <c r="H41" s="24"/>
      <c r="I41" s="24"/>
    </row>
    <row r="42" spans="1:9" ht="34" customHeight="1" x14ac:dyDescent="0.2">
      <c r="A42" s="6" t="s">
        <v>31</v>
      </c>
      <c r="B42" s="23" t="s">
        <v>83</v>
      </c>
      <c r="C42" s="24"/>
      <c r="D42" s="24"/>
      <c r="E42" s="24"/>
      <c r="F42" s="24"/>
      <c r="G42" s="24"/>
      <c r="H42" s="24"/>
      <c r="I42" s="24"/>
    </row>
    <row r="43" spans="1:9" ht="34" customHeight="1" x14ac:dyDescent="0.2">
      <c r="A43" s="6" t="s">
        <v>84</v>
      </c>
      <c r="B43" s="23" t="s">
        <v>85</v>
      </c>
      <c r="C43" s="24"/>
      <c r="D43" s="24"/>
      <c r="E43" s="24"/>
      <c r="F43" s="24"/>
      <c r="G43" s="24"/>
      <c r="H43" s="24"/>
      <c r="I43" s="24"/>
    </row>
    <row r="44" spans="1:9" ht="34" customHeight="1" x14ac:dyDescent="0.2">
      <c r="A44" s="6" t="s">
        <v>86</v>
      </c>
      <c r="B44" s="23" t="s">
        <v>87</v>
      </c>
      <c r="C44" s="24"/>
      <c r="D44" s="24"/>
      <c r="E44" s="24"/>
      <c r="F44" s="24"/>
      <c r="G44" s="24"/>
      <c r="H44" s="24"/>
      <c r="I44" s="24"/>
    </row>
    <row r="45" spans="1:9" ht="34" customHeight="1" x14ac:dyDescent="0.2">
      <c r="A45" s="6" t="s">
        <v>88</v>
      </c>
      <c r="B45" s="23" t="s">
        <v>89</v>
      </c>
      <c r="C45" s="24"/>
      <c r="D45" s="24"/>
      <c r="E45" s="24"/>
      <c r="F45" s="24"/>
      <c r="G45" s="24"/>
      <c r="H45" s="24"/>
      <c r="I45" s="24"/>
    </row>
  </sheetData>
  <mergeCells count="18">
    <mergeCell ref="A1:I1"/>
    <mergeCell ref="A11:E11"/>
    <mergeCell ref="B42:I42"/>
    <mergeCell ref="A27:I27"/>
    <mergeCell ref="A3:I3"/>
    <mergeCell ref="A8:I9"/>
    <mergeCell ref="B41:I41"/>
    <mergeCell ref="G11:I11"/>
    <mergeCell ref="B44:I44"/>
    <mergeCell ref="A2:I2"/>
    <mergeCell ref="B40:I40"/>
    <mergeCell ref="B45:I45"/>
    <mergeCell ref="B39:I39"/>
    <mergeCell ref="A5:I5"/>
    <mergeCell ref="A6:I7"/>
    <mergeCell ref="A37:I37"/>
    <mergeCell ref="B38:I38"/>
    <mergeCell ref="B43:I43"/>
  </mergeCells>
  <conditionalFormatting sqref="E13:E24">
    <cfRule type="expression" dxfId="11" priority="1" stopIfTrue="1">
      <formula>E13="PASS"</formula>
    </cfRule>
    <cfRule type="expression" dxfId="10" priority="2" stopIfTrue="1">
      <formula>E13="CHECK"</formula>
    </cfRule>
  </conditionalFormatting>
  <hyperlinks>
    <hyperlink ref="A38" location="'Evidence Register'!A1" display="Evidence Register" xr:uid="{00000000-0004-0000-0000-000000000000}"/>
    <hyperlink ref="A39" location="'Coverage &amp; Gaps'!A1" display="Coverage &amp; Gaps" xr:uid="{00000000-0004-0000-0000-000001000000}"/>
    <hyperlink ref="A40" location="'Exclusions'!A1" display="Exclusions" xr:uid="{00000000-0004-0000-0000-000002000000}"/>
    <hyperlink ref="A41" location="'Briefing Units'!A1" display="Briefing Units" xr:uid="{00000000-0004-0000-0000-000003000000}"/>
    <hyperlink ref="A42" location="'Sources'!A1" display="Sources" xr:uid="{00000000-0004-0000-0000-000004000000}"/>
    <hyperlink ref="A43" location="'Watchlist'!A1" display="Watchlist" xr:uid="{00000000-0004-0000-0000-000005000000}"/>
    <hyperlink ref="A44" location="'File Inventory'!A1" display="File Inventory" xr:uid="{00000000-0004-0000-0000-000006000000}"/>
    <hyperlink ref="A45" location="'Methodology'!A1" display="Methodology" xr:uid="{00000000-0004-0000-0000-000007000000}"/>
  </hyperlinks>
  <pageMargins left="0.25" right="0.25" top="0.45" bottom="0.45" header="0.2" footer="0.2"/>
  <pageSetup fitToHeight="0" orientation="portrait"/>
  <headerFooter>
    <oddFooter>&amp;C&amp;8 &amp;K5E6C75Pakistan AI Policy Monitor | &amp;P of &amp;N</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952E"/>
    <pageSetUpPr fitToPage="1"/>
  </sheetPr>
  <dimension ref="A1:Z56"/>
  <sheetViews>
    <sheetView showGridLines="0" zoomScale="80" zoomScaleNormal="80" workbookViewId="0">
      <pane xSplit="5" ySplit="4" topLeftCell="F5" activePane="bottomRight" state="frozen"/>
      <selection pane="topRight"/>
      <selection pane="bottomLeft"/>
      <selection pane="bottomRight"/>
    </sheetView>
  </sheetViews>
  <sheetFormatPr baseColWidth="10" defaultColWidth="8.83203125" defaultRowHeight="15" x14ac:dyDescent="0.2"/>
  <cols>
    <col min="1" max="1" width="29" customWidth="1"/>
    <col min="2" max="2" width="40" customWidth="1"/>
    <col min="3" max="3" width="26" customWidth="1"/>
    <col min="4" max="4" width="32" customWidth="1"/>
    <col min="5" max="6" width="22" customWidth="1"/>
    <col min="7" max="7" width="24" customWidth="1"/>
    <col min="8" max="8" width="22" customWidth="1"/>
    <col min="9" max="9" width="18" customWidth="1"/>
    <col min="10" max="10" width="30" customWidth="1"/>
    <col min="11" max="11" width="18" customWidth="1"/>
    <col min="12" max="12" width="48" customWidth="1"/>
    <col min="13" max="13" width="18" customWidth="1"/>
    <col min="14" max="14" width="44" customWidth="1"/>
    <col min="15" max="15" width="36" customWidth="1"/>
    <col min="16" max="16" width="52" customWidth="1"/>
    <col min="17" max="17" width="42" customWidth="1"/>
    <col min="18" max="19" width="38" customWidth="1"/>
    <col min="20" max="20" width="42" customWidth="1"/>
    <col min="21" max="21" width="38" customWidth="1"/>
    <col min="22" max="22" width="11" customWidth="1"/>
    <col min="23" max="24" width="34" customWidth="1"/>
    <col min="25" max="25" width="30" customWidth="1"/>
    <col min="26" max="26" width="27" customWidth="1"/>
  </cols>
  <sheetData>
    <row r="1" spans="1:26" ht="33" customHeight="1" x14ac:dyDescent="0.2">
      <c r="A1" s="28" t="s">
        <v>76</v>
      </c>
      <c r="B1" s="24"/>
      <c r="C1" s="24"/>
      <c r="D1" s="24"/>
      <c r="E1" s="24"/>
      <c r="F1" s="24"/>
      <c r="G1" s="24"/>
      <c r="H1" s="24"/>
      <c r="I1" s="24"/>
      <c r="J1" s="24"/>
      <c r="K1" s="24"/>
      <c r="L1" s="24"/>
      <c r="M1" s="24"/>
      <c r="N1" s="24"/>
      <c r="O1" s="24"/>
      <c r="P1" s="24"/>
      <c r="Q1" s="24"/>
      <c r="R1" s="24"/>
      <c r="S1" s="24"/>
      <c r="T1" s="24"/>
      <c r="U1" s="24"/>
      <c r="V1" s="24"/>
      <c r="W1" s="24"/>
      <c r="X1" s="24"/>
      <c r="Y1" s="24"/>
      <c r="Z1" s="24"/>
    </row>
    <row r="2" spans="1:26" ht="30" customHeight="1" x14ac:dyDescent="0.2">
      <c r="A2" s="25" t="s">
        <v>90</v>
      </c>
      <c r="B2" s="24"/>
      <c r="C2" s="24"/>
      <c r="D2" s="24"/>
      <c r="E2" s="24"/>
      <c r="F2" s="24"/>
      <c r="G2" s="24"/>
      <c r="H2" s="24"/>
      <c r="I2" s="24"/>
      <c r="J2" s="24"/>
      <c r="K2" s="24"/>
      <c r="L2" s="24"/>
      <c r="M2" s="24"/>
      <c r="N2" s="24"/>
      <c r="O2" s="24"/>
      <c r="P2" s="24"/>
      <c r="Q2" s="24"/>
      <c r="R2" s="24"/>
      <c r="S2" s="24"/>
      <c r="T2" s="24"/>
      <c r="U2" s="24"/>
      <c r="V2" s="24"/>
      <c r="W2" s="24"/>
      <c r="X2" s="24"/>
      <c r="Y2" s="24"/>
      <c r="Z2" s="24"/>
    </row>
    <row r="4" spans="1:26" ht="42" customHeight="1" x14ac:dyDescent="0.2">
      <c r="A4" s="1" t="s">
        <v>91</v>
      </c>
      <c r="B4" s="1" t="s">
        <v>92</v>
      </c>
      <c r="C4" s="1" t="s">
        <v>93</v>
      </c>
      <c r="D4" s="1" t="s">
        <v>94</v>
      </c>
      <c r="E4" s="1" t="s">
        <v>95</v>
      </c>
      <c r="F4" s="1" t="s">
        <v>96</v>
      </c>
      <c r="G4" s="1" t="s">
        <v>97</v>
      </c>
      <c r="H4" s="1" t="s">
        <v>98</v>
      </c>
      <c r="I4" s="1" t="s">
        <v>99</v>
      </c>
      <c r="J4" s="1" t="s">
        <v>100</v>
      </c>
      <c r="K4" s="1" t="s">
        <v>101</v>
      </c>
      <c r="L4" s="1" t="s">
        <v>102</v>
      </c>
      <c r="M4" s="1" t="s">
        <v>103</v>
      </c>
      <c r="N4" s="1" t="s">
        <v>104</v>
      </c>
      <c r="O4" s="1" t="s">
        <v>105</v>
      </c>
      <c r="P4" s="1" t="s">
        <v>106</v>
      </c>
      <c r="Q4" s="1" t="s">
        <v>107</v>
      </c>
      <c r="R4" s="1" t="s">
        <v>108</v>
      </c>
      <c r="S4" s="1" t="s">
        <v>109</v>
      </c>
      <c r="T4" s="1" t="s">
        <v>110</v>
      </c>
      <c r="U4" s="1" t="s">
        <v>111</v>
      </c>
      <c r="V4" s="1" t="s">
        <v>112</v>
      </c>
      <c r="W4" s="1" t="s">
        <v>113</v>
      </c>
      <c r="X4" s="1" t="s">
        <v>114</v>
      </c>
      <c r="Y4" s="1" t="s">
        <v>115</v>
      </c>
      <c r="Z4" s="1" t="s">
        <v>69</v>
      </c>
    </row>
    <row r="5" spans="1:26" ht="76" customHeight="1" x14ac:dyDescent="0.2">
      <c r="A5" s="2" t="s">
        <v>116</v>
      </c>
      <c r="B5" s="2" t="s">
        <v>117</v>
      </c>
      <c r="C5" s="2" t="s">
        <v>118</v>
      </c>
      <c r="D5" s="2" t="s">
        <v>119</v>
      </c>
      <c r="E5" s="2" t="s">
        <v>120</v>
      </c>
      <c r="F5" s="7">
        <v>46252</v>
      </c>
      <c r="G5" s="2" t="s">
        <v>121</v>
      </c>
      <c r="H5" s="2" t="s">
        <v>122</v>
      </c>
      <c r="I5" s="2" t="s">
        <v>123</v>
      </c>
      <c r="J5" s="2" t="s">
        <v>124</v>
      </c>
      <c r="K5" s="2" t="s">
        <v>125</v>
      </c>
      <c r="L5" s="2" t="s">
        <v>126</v>
      </c>
      <c r="M5" s="2" t="s">
        <v>127</v>
      </c>
      <c r="N5" s="2" t="s">
        <v>128</v>
      </c>
      <c r="O5" s="2" t="s">
        <v>129</v>
      </c>
      <c r="P5" s="2" t="s">
        <v>130</v>
      </c>
      <c r="Q5" s="2" t="s">
        <v>131</v>
      </c>
      <c r="R5" s="2" t="s">
        <v>132</v>
      </c>
      <c r="S5" s="2" t="s">
        <v>133</v>
      </c>
      <c r="T5" s="2" t="s">
        <v>134</v>
      </c>
      <c r="U5" s="2" t="s">
        <v>135</v>
      </c>
      <c r="V5" s="2" t="s">
        <v>136</v>
      </c>
      <c r="W5" s="2" t="s">
        <v>137</v>
      </c>
      <c r="X5" s="2" t="s">
        <v>138</v>
      </c>
      <c r="Y5" s="2" t="s">
        <v>139</v>
      </c>
      <c r="Z5" s="2" t="s">
        <v>140</v>
      </c>
    </row>
    <row r="6" spans="1:26" ht="62" customHeight="1" x14ac:dyDescent="0.2">
      <c r="A6" s="2" t="s">
        <v>141</v>
      </c>
      <c r="B6" s="2" t="s">
        <v>142</v>
      </c>
      <c r="C6" s="2" t="s">
        <v>143</v>
      </c>
      <c r="D6" s="2" t="s">
        <v>144</v>
      </c>
      <c r="E6" s="2" t="s">
        <v>120</v>
      </c>
      <c r="F6" s="7">
        <v>46255</v>
      </c>
      <c r="G6" s="2" t="s">
        <v>145</v>
      </c>
      <c r="H6" s="2" t="s">
        <v>146</v>
      </c>
      <c r="I6" s="2" t="s">
        <v>123</v>
      </c>
      <c r="J6" s="2" t="s">
        <v>147</v>
      </c>
      <c r="K6" s="2" t="s">
        <v>148</v>
      </c>
      <c r="L6" s="6" t="s">
        <v>149</v>
      </c>
      <c r="M6" s="2" t="s">
        <v>150</v>
      </c>
      <c r="N6" s="2" t="s">
        <v>151</v>
      </c>
      <c r="O6" s="2" t="s">
        <v>152</v>
      </c>
      <c r="P6" s="2" t="s">
        <v>153</v>
      </c>
      <c r="Q6" s="2" t="s">
        <v>154</v>
      </c>
      <c r="R6" s="2" t="s">
        <v>155</v>
      </c>
      <c r="S6" s="2" t="s">
        <v>156</v>
      </c>
      <c r="T6" s="2" t="s">
        <v>157</v>
      </c>
      <c r="U6" s="2" t="s">
        <v>158</v>
      </c>
      <c r="V6" s="2" t="s">
        <v>136</v>
      </c>
      <c r="W6" s="2" t="s">
        <v>159</v>
      </c>
      <c r="X6" s="2" t="s">
        <v>160</v>
      </c>
      <c r="Y6" s="2" t="s">
        <v>161</v>
      </c>
      <c r="Z6" s="2" t="s">
        <v>140</v>
      </c>
    </row>
    <row r="7" spans="1:26" ht="146" customHeight="1" x14ac:dyDescent="0.2">
      <c r="A7" s="2" t="s">
        <v>162</v>
      </c>
      <c r="B7" s="2" t="s">
        <v>163</v>
      </c>
      <c r="C7" s="2" t="s">
        <v>164</v>
      </c>
      <c r="D7" s="2" t="s">
        <v>165</v>
      </c>
      <c r="E7" s="2" t="s">
        <v>166</v>
      </c>
      <c r="F7" s="7">
        <v>46255</v>
      </c>
      <c r="G7" s="7">
        <v>46255</v>
      </c>
      <c r="H7" s="2" t="s">
        <v>167</v>
      </c>
      <c r="I7" s="2" t="s">
        <v>168</v>
      </c>
      <c r="J7" s="2" t="s">
        <v>169</v>
      </c>
      <c r="K7" s="2" t="s">
        <v>170</v>
      </c>
      <c r="L7" s="2" t="s">
        <v>171</v>
      </c>
      <c r="M7" s="2" t="s">
        <v>172</v>
      </c>
      <c r="N7" s="2" t="s">
        <v>173</v>
      </c>
      <c r="O7" s="2" t="s">
        <v>174</v>
      </c>
      <c r="P7" s="2" t="s">
        <v>175</v>
      </c>
      <c r="Q7" s="2" t="s">
        <v>176</v>
      </c>
      <c r="R7" s="2" t="s">
        <v>177</v>
      </c>
      <c r="S7" s="2" t="s">
        <v>178</v>
      </c>
      <c r="T7" s="2" t="s">
        <v>179</v>
      </c>
      <c r="U7" s="2" t="s">
        <v>180</v>
      </c>
      <c r="V7" s="2" t="s">
        <v>181</v>
      </c>
      <c r="W7" s="2" t="s">
        <v>182</v>
      </c>
      <c r="X7" s="2" t="s">
        <v>183</v>
      </c>
      <c r="Y7" s="2" t="s">
        <v>161</v>
      </c>
      <c r="Z7" s="2" t="s">
        <v>140</v>
      </c>
    </row>
    <row r="8" spans="1:26" ht="48" customHeight="1" x14ac:dyDescent="0.2">
      <c r="A8" s="2" t="s">
        <v>184</v>
      </c>
      <c r="B8" s="2" t="s">
        <v>185</v>
      </c>
      <c r="C8" s="2" t="s">
        <v>186</v>
      </c>
      <c r="D8" s="2" t="s">
        <v>187</v>
      </c>
      <c r="E8" s="2" t="s">
        <v>166</v>
      </c>
      <c r="F8" s="2" t="s">
        <v>188</v>
      </c>
      <c r="G8" s="2" t="s">
        <v>189</v>
      </c>
      <c r="H8" s="2" t="s">
        <v>190</v>
      </c>
      <c r="I8" s="2" t="s">
        <v>123</v>
      </c>
      <c r="J8" s="2" t="s">
        <v>191</v>
      </c>
      <c r="K8" s="2" t="s">
        <v>192</v>
      </c>
      <c r="L8" s="2" t="s">
        <v>193</v>
      </c>
      <c r="M8" s="2"/>
      <c r="N8" s="2"/>
      <c r="O8" s="2" t="s">
        <v>194</v>
      </c>
      <c r="P8" s="2" t="s">
        <v>195</v>
      </c>
      <c r="Q8" s="2"/>
      <c r="R8" s="2" t="s">
        <v>196</v>
      </c>
      <c r="S8" s="2" t="s">
        <v>197</v>
      </c>
      <c r="T8" s="2" t="s">
        <v>198</v>
      </c>
      <c r="U8" s="2" t="s">
        <v>199</v>
      </c>
      <c r="V8" s="2" t="s">
        <v>181</v>
      </c>
      <c r="W8" s="2" t="s">
        <v>200</v>
      </c>
      <c r="X8" s="2" t="s">
        <v>201</v>
      </c>
      <c r="Y8" s="2" t="s">
        <v>161</v>
      </c>
      <c r="Z8" s="2" t="s">
        <v>140</v>
      </c>
    </row>
    <row r="9" spans="1:26" ht="48" customHeight="1" x14ac:dyDescent="0.2">
      <c r="A9" s="2" t="s">
        <v>202</v>
      </c>
      <c r="B9" s="2" t="s">
        <v>203</v>
      </c>
      <c r="C9" s="2" t="s">
        <v>186</v>
      </c>
      <c r="D9" s="2" t="s">
        <v>187</v>
      </c>
      <c r="E9" s="2" t="s">
        <v>166</v>
      </c>
      <c r="F9" s="2" t="s">
        <v>188</v>
      </c>
      <c r="G9" s="2" t="s">
        <v>189</v>
      </c>
      <c r="H9" s="2" t="s">
        <v>190</v>
      </c>
      <c r="I9" s="2" t="s">
        <v>123</v>
      </c>
      <c r="J9" s="2" t="s">
        <v>191</v>
      </c>
      <c r="K9" s="2" t="s">
        <v>204</v>
      </c>
      <c r="L9" s="2" t="s">
        <v>205</v>
      </c>
      <c r="M9" s="2"/>
      <c r="N9" s="2"/>
      <c r="O9" s="2" t="s">
        <v>194</v>
      </c>
      <c r="P9" s="2" t="s">
        <v>206</v>
      </c>
      <c r="Q9" s="2"/>
      <c r="R9" s="2" t="s">
        <v>207</v>
      </c>
      <c r="S9" s="2" t="s">
        <v>208</v>
      </c>
      <c r="T9" s="2" t="s">
        <v>209</v>
      </c>
      <c r="U9" s="2" t="s">
        <v>210</v>
      </c>
      <c r="V9" s="2" t="s">
        <v>181</v>
      </c>
      <c r="W9" s="2" t="s">
        <v>211</v>
      </c>
      <c r="X9" s="2" t="s">
        <v>212</v>
      </c>
      <c r="Y9" s="2" t="s">
        <v>161</v>
      </c>
      <c r="Z9" s="2" t="s">
        <v>140</v>
      </c>
    </row>
    <row r="10" spans="1:26" ht="62" customHeight="1" x14ac:dyDescent="0.2">
      <c r="A10" s="2" t="s">
        <v>213</v>
      </c>
      <c r="B10" s="2" t="s">
        <v>214</v>
      </c>
      <c r="C10" s="2" t="s">
        <v>215</v>
      </c>
      <c r="D10" s="2" t="s">
        <v>216</v>
      </c>
      <c r="E10" s="2" t="s">
        <v>217</v>
      </c>
      <c r="F10" s="7">
        <v>46262</v>
      </c>
      <c r="G10" s="7">
        <v>46262</v>
      </c>
      <c r="H10" s="2" t="s">
        <v>218</v>
      </c>
      <c r="I10" s="2" t="s">
        <v>219</v>
      </c>
      <c r="J10" s="2" t="s">
        <v>220</v>
      </c>
      <c r="K10" s="2" t="s">
        <v>221</v>
      </c>
      <c r="L10" s="2" t="s">
        <v>222</v>
      </c>
      <c r="M10" s="2"/>
      <c r="N10" s="2"/>
      <c r="O10" s="2" t="s">
        <v>223</v>
      </c>
      <c r="P10" s="2" t="s">
        <v>224</v>
      </c>
      <c r="Q10" s="2"/>
      <c r="R10" s="2" t="s">
        <v>225</v>
      </c>
      <c r="S10" s="2" t="s">
        <v>226</v>
      </c>
      <c r="T10" s="2" t="s">
        <v>227</v>
      </c>
      <c r="U10" s="2" t="s">
        <v>228</v>
      </c>
      <c r="V10" s="2" t="s">
        <v>181</v>
      </c>
      <c r="W10" s="2" t="s">
        <v>229</v>
      </c>
      <c r="X10" s="2" t="s">
        <v>230</v>
      </c>
      <c r="Y10" s="2" t="s">
        <v>161</v>
      </c>
      <c r="Z10" s="2" t="s">
        <v>140</v>
      </c>
    </row>
    <row r="11" spans="1:26" ht="48" customHeight="1" x14ac:dyDescent="0.2">
      <c r="A11" s="2" t="s">
        <v>231</v>
      </c>
      <c r="B11" s="2" t="s">
        <v>232</v>
      </c>
      <c r="C11" s="2" t="s">
        <v>233</v>
      </c>
      <c r="D11" s="2" t="s">
        <v>234</v>
      </c>
      <c r="E11" s="2" t="s">
        <v>235</v>
      </c>
      <c r="F11" s="2" t="s">
        <v>236</v>
      </c>
      <c r="G11" s="7">
        <v>46256</v>
      </c>
      <c r="H11" s="2" t="s">
        <v>167</v>
      </c>
      <c r="I11" s="2" t="s">
        <v>167</v>
      </c>
      <c r="J11" s="2" t="s">
        <v>237</v>
      </c>
      <c r="K11" s="2" t="s">
        <v>238</v>
      </c>
      <c r="L11" s="6" t="s">
        <v>239</v>
      </c>
      <c r="M11" s="2" t="s">
        <v>240</v>
      </c>
      <c r="N11" s="6" t="s">
        <v>241</v>
      </c>
      <c r="O11" s="2" t="s">
        <v>242</v>
      </c>
      <c r="P11" s="2" t="s">
        <v>243</v>
      </c>
      <c r="Q11" s="2" t="s">
        <v>244</v>
      </c>
      <c r="R11" s="2" t="s">
        <v>245</v>
      </c>
      <c r="S11" s="2" t="s">
        <v>246</v>
      </c>
      <c r="T11" s="2" t="s">
        <v>247</v>
      </c>
      <c r="U11" s="2" t="s">
        <v>248</v>
      </c>
      <c r="V11" s="2" t="s">
        <v>181</v>
      </c>
      <c r="W11" s="2" t="s">
        <v>249</v>
      </c>
      <c r="X11" s="2" t="s">
        <v>250</v>
      </c>
      <c r="Y11" s="2" t="s">
        <v>251</v>
      </c>
      <c r="Z11" s="2" t="s">
        <v>252</v>
      </c>
    </row>
    <row r="12" spans="1:26" ht="48" customHeight="1" x14ac:dyDescent="0.2">
      <c r="A12" s="2" t="s">
        <v>253</v>
      </c>
      <c r="B12" s="2" t="s">
        <v>254</v>
      </c>
      <c r="C12" s="2" t="s">
        <v>164</v>
      </c>
      <c r="D12" s="2" t="s">
        <v>255</v>
      </c>
      <c r="E12" s="2" t="s">
        <v>235</v>
      </c>
      <c r="F12" s="7">
        <v>46261</v>
      </c>
      <c r="G12" s="7">
        <v>46261</v>
      </c>
      <c r="H12" s="2" t="s">
        <v>256</v>
      </c>
      <c r="I12" s="2" t="s">
        <v>256</v>
      </c>
      <c r="J12" s="2" t="s">
        <v>257</v>
      </c>
      <c r="K12" s="2" t="s">
        <v>258</v>
      </c>
      <c r="L12" s="6" t="s">
        <v>259</v>
      </c>
      <c r="M12" s="2"/>
      <c r="N12" s="2"/>
      <c r="O12" s="2" t="s">
        <v>260</v>
      </c>
      <c r="P12" s="2" t="s">
        <v>261</v>
      </c>
      <c r="Q12" s="2"/>
      <c r="R12" s="2" t="s">
        <v>262</v>
      </c>
      <c r="S12" s="2" t="s">
        <v>263</v>
      </c>
      <c r="T12" s="2" t="s">
        <v>264</v>
      </c>
      <c r="U12" s="2" t="s">
        <v>265</v>
      </c>
      <c r="V12" s="2" t="s">
        <v>181</v>
      </c>
      <c r="W12" s="2" t="s">
        <v>266</v>
      </c>
      <c r="X12" s="2" t="s">
        <v>267</v>
      </c>
      <c r="Y12" s="2" t="s">
        <v>161</v>
      </c>
      <c r="Z12" s="2" t="s">
        <v>140</v>
      </c>
    </row>
    <row r="13" spans="1:26" ht="132" customHeight="1" x14ac:dyDescent="0.2">
      <c r="A13" s="2" t="s">
        <v>268</v>
      </c>
      <c r="B13" s="2" t="s">
        <v>269</v>
      </c>
      <c r="C13" s="2" t="s">
        <v>164</v>
      </c>
      <c r="D13" s="2" t="s">
        <v>270</v>
      </c>
      <c r="E13" s="2" t="s">
        <v>217</v>
      </c>
      <c r="F13" s="2" t="s">
        <v>271</v>
      </c>
      <c r="G13" s="2" t="s">
        <v>272</v>
      </c>
      <c r="H13" s="2" t="s">
        <v>256</v>
      </c>
      <c r="I13" s="2" t="s">
        <v>273</v>
      </c>
      <c r="J13" s="2" t="s">
        <v>257</v>
      </c>
      <c r="K13" s="2" t="s">
        <v>274</v>
      </c>
      <c r="L13" s="2" t="s">
        <v>275</v>
      </c>
      <c r="M13" s="2" t="s">
        <v>276</v>
      </c>
      <c r="N13" s="2" t="s">
        <v>277</v>
      </c>
      <c r="O13" s="2" t="s">
        <v>278</v>
      </c>
      <c r="P13" s="2" t="s">
        <v>279</v>
      </c>
      <c r="Q13" s="2" t="s">
        <v>280</v>
      </c>
      <c r="R13" s="2" t="s">
        <v>281</v>
      </c>
      <c r="S13" s="2" t="s">
        <v>282</v>
      </c>
      <c r="T13" s="2" t="s">
        <v>283</v>
      </c>
      <c r="U13" s="2" t="s">
        <v>284</v>
      </c>
      <c r="V13" s="2" t="s">
        <v>181</v>
      </c>
      <c r="W13" s="2" t="s">
        <v>285</v>
      </c>
      <c r="X13" s="2" t="s">
        <v>286</v>
      </c>
      <c r="Y13" s="2" t="s">
        <v>161</v>
      </c>
      <c r="Z13" s="2" t="s">
        <v>140</v>
      </c>
    </row>
    <row r="14" spans="1:26" ht="48" customHeight="1" x14ac:dyDescent="0.2">
      <c r="A14" s="2" t="s">
        <v>287</v>
      </c>
      <c r="B14" s="2" t="s">
        <v>288</v>
      </c>
      <c r="C14" s="2" t="s">
        <v>215</v>
      </c>
      <c r="D14" s="2" t="s">
        <v>289</v>
      </c>
      <c r="E14" s="2" t="s">
        <v>290</v>
      </c>
      <c r="F14" s="7">
        <v>46266</v>
      </c>
      <c r="G14" s="7">
        <v>46266</v>
      </c>
      <c r="H14" s="2" t="s">
        <v>291</v>
      </c>
      <c r="I14" s="2" t="s">
        <v>291</v>
      </c>
      <c r="J14" s="2" t="s">
        <v>292</v>
      </c>
      <c r="K14" s="2"/>
      <c r="L14" s="2"/>
      <c r="M14" s="2" t="s">
        <v>293</v>
      </c>
      <c r="N14" s="6" t="s">
        <v>294</v>
      </c>
      <c r="O14" s="2" t="s">
        <v>295</v>
      </c>
      <c r="P14" s="2" t="s">
        <v>296</v>
      </c>
      <c r="Q14" s="2"/>
      <c r="R14" s="2" t="s">
        <v>297</v>
      </c>
      <c r="S14" s="2" t="s">
        <v>298</v>
      </c>
      <c r="T14" s="2" t="s">
        <v>299</v>
      </c>
      <c r="U14" s="2" t="s">
        <v>300</v>
      </c>
      <c r="V14" s="2" t="s">
        <v>301</v>
      </c>
      <c r="W14" s="2" t="s">
        <v>302</v>
      </c>
      <c r="X14" s="2" t="s">
        <v>303</v>
      </c>
      <c r="Y14" s="2" t="s">
        <v>304</v>
      </c>
      <c r="Z14" s="2" t="s">
        <v>140</v>
      </c>
    </row>
    <row r="15" spans="1:26" ht="48" customHeight="1" x14ac:dyDescent="0.2">
      <c r="A15" s="2" t="s">
        <v>305</v>
      </c>
      <c r="B15" s="2" t="s">
        <v>306</v>
      </c>
      <c r="C15" s="2" t="s">
        <v>215</v>
      </c>
      <c r="D15" s="2" t="s">
        <v>307</v>
      </c>
      <c r="E15" s="2" t="s">
        <v>308</v>
      </c>
      <c r="F15" s="7">
        <v>46265</v>
      </c>
      <c r="G15" s="2" t="s">
        <v>309</v>
      </c>
      <c r="H15" s="2" t="s">
        <v>291</v>
      </c>
      <c r="I15" s="2" t="s">
        <v>123</v>
      </c>
      <c r="J15" s="2" t="s">
        <v>310</v>
      </c>
      <c r="K15" s="2"/>
      <c r="L15" s="2"/>
      <c r="M15" s="2" t="s">
        <v>311</v>
      </c>
      <c r="N15" s="2" t="s">
        <v>312</v>
      </c>
      <c r="O15" s="2" t="s">
        <v>313</v>
      </c>
      <c r="P15" s="2" t="s">
        <v>314</v>
      </c>
      <c r="Q15" s="2"/>
      <c r="R15" s="2" t="s">
        <v>315</v>
      </c>
      <c r="S15" s="2" t="s">
        <v>316</v>
      </c>
      <c r="T15" s="2" t="s">
        <v>317</v>
      </c>
      <c r="U15" s="2" t="s">
        <v>318</v>
      </c>
      <c r="V15" s="2" t="s">
        <v>136</v>
      </c>
      <c r="W15" s="2" t="s">
        <v>319</v>
      </c>
      <c r="X15" s="2" t="s">
        <v>320</v>
      </c>
      <c r="Y15" s="2" t="s">
        <v>161</v>
      </c>
      <c r="Z15" s="2" t="s">
        <v>140</v>
      </c>
    </row>
    <row r="16" spans="1:26" ht="62" customHeight="1" x14ac:dyDescent="0.2">
      <c r="A16" s="2" t="s">
        <v>321</v>
      </c>
      <c r="B16" s="2" t="s">
        <v>322</v>
      </c>
      <c r="C16" s="2" t="s">
        <v>233</v>
      </c>
      <c r="D16" s="2" t="s">
        <v>323</v>
      </c>
      <c r="E16" s="2" t="s">
        <v>120</v>
      </c>
      <c r="F16" s="7">
        <v>46266</v>
      </c>
      <c r="G16" s="7">
        <v>46266</v>
      </c>
      <c r="H16" s="2" t="s">
        <v>291</v>
      </c>
      <c r="I16" s="2" t="s">
        <v>291</v>
      </c>
      <c r="J16" s="2" t="s">
        <v>292</v>
      </c>
      <c r="K16" s="2" t="s">
        <v>324</v>
      </c>
      <c r="L16" s="6" t="s">
        <v>325</v>
      </c>
      <c r="M16" s="2"/>
      <c r="N16" s="2"/>
      <c r="O16" s="2" t="s">
        <v>326</v>
      </c>
      <c r="P16" s="2" t="s">
        <v>327</v>
      </c>
      <c r="Q16" s="2"/>
      <c r="R16" s="2" t="s">
        <v>328</v>
      </c>
      <c r="S16" s="2" t="s">
        <v>329</v>
      </c>
      <c r="T16" s="2" t="s">
        <v>330</v>
      </c>
      <c r="U16" s="2" t="s">
        <v>331</v>
      </c>
      <c r="V16" s="2" t="s">
        <v>136</v>
      </c>
      <c r="W16" s="2" t="s">
        <v>332</v>
      </c>
      <c r="X16" s="2" t="s">
        <v>333</v>
      </c>
      <c r="Y16" s="2" t="s">
        <v>161</v>
      </c>
      <c r="Z16" s="2" t="s">
        <v>140</v>
      </c>
    </row>
    <row r="17" spans="1:26" ht="76" customHeight="1" x14ac:dyDescent="0.2">
      <c r="A17" s="2" t="s">
        <v>334</v>
      </c>
      <c r="B17" s="2" t="s">
        <v>335</v>
      </c>
      <c r="C17" s="2" t="s">
        <v>336</v>
      </c>
      <c r="D17" s="2" t="s">
        <v>337</v>
      </c>
      <c r="E17" s="2" t="s">
        <v>120</v>
      </c>
      <c r="F17" s="2" t="s">
        <v>338</v>
      </c>
      <c r="G17" s="7">
        <v>46252</v>
      </c>
      <c r="H17" s="2" t="s">
        <v>122</v>
      </c>
      <c r="I17" s="2" t="s">
        <v>123</v>
      </c>
      <c r="J17" s="2" t="s">
        <v>124</v>
      </c>
      <c r="K17" s="2" t="s">
        <v>339</v>
      </c>
      <c r="L17" s="2" t="s">
        <v>340</v>
      </c>
      <c r="M17" s="2"/>
      <c r="N17" s="2"/>
      <c r="O17" s="2" t="s">
        <v>341</v>
      </c>
      <c r="P17" s="2" t="s">
        <v>342</v>
      </c>
      <c r="Q17" s="2" t="s">
        <v>343</v>
      </c>
      <c r="R17" s="2" t="s">
        <v>344</v>
      </c>
      <c r="S17" s="2" t="s">
        <v>345</v>
      </c>
      <c r="T17" s="2" t="s">
        <v>346</v>
      </c>
      <c r="U17" s="2" t="s">
        <v>347</v>
      </c>
      <c r="V17" s="2" t="s">
        <v>181</v>
      </c>
      <c r="W17" s="2" t="s">
        <v>348</v>
      </c>
      <c r="X17" s="2" t="s">
        <v>349</v>
      </c>
      <c r="Y17" s="2" t="s">
        <v>161</v>
      </c>
      <c r="Z17" s="2" t="s">
        <v>140</v>
      </c>
    </row>
    <row r="18" spans="1:26" ht="48" customHeight="1" x14ac:dyDescent="0.2">
      <c r="A18" s="2" t="s">
        <v>350</v>
      </c>
      <c r="B18" s="2" t="s">
        <v>351</v>
      </c>
      <c r="C18" s="2" t="s">
        <v>352</v>
      </c>
      <c r="D18" s="2" t="s">
        <v>353</v>
      </c>
      <c r="E18" s="2" t="s">
        <v>354</v>
      </c>
      <c r="F18" s="7">
        <v>46253</v>
      </c>
      <c r="G18" s="7">
        <v>46253</v>
      </c>
      <c r="H18" s="2" t="s">
        <v>355</v>
      </c>
      <c r="I18" s="2" t="s">
        <v>355</v>
      </c>
      <c r="J18" s="2" t="s">
        <v>356</v>
      </c>
      <c r="K18" s="2" t="s">
        <v>357</v>
      </c>
      <c r="L18" s="2" t="s">
        <v>358</v>
      </c>
      <c r="M18" s="2"/>
      <c r="N18" s="2"/>
      <c r="O18" s="2" t="s">
        <v>359</v>
      </c>
      <c r="P18" s="2" t="s">
        <v>360</v>
      </c>
      <c r="Q18" s="2"/>
      <c r="R18" s="2" t="s">
        <v>361</v>
      </c>
      <c r="S18" s="2" t="s">
        <v>362</v>
      </c>
      <c r="T18" s="2" t="s">
        <v>363</v>
      </c>
      <c r="U18" s="2" t="s">
        <v>364</v>
      </c>
      <c r="V18" s="2" t="s">
        <v>181</v>
      </c>
      <c r="W18" s="2" t="s">
        <v>365</v>
      </c>
      <c r="X18" s="2" t="s">
        <v>366</v>
      </c>
      <c r="Y18" s="2" t="s">
        <v>161</v>
      </c>
      <c r="Z18" s="2" t="s">
        <v>140</v>
      </c>
    </row>
    <row r="19" spans="1:26" ht="62" customHeight="1" x14ac:dyDescent="0.2">
      <c r="A19" s="2" t="s">
        <v>367</v>
      </c>
      <c r="B19" s="2" t="s">
        <v>368</v>
      </c>
      <c r="C19" s="2" t="s">
        <v>336</v>
      </c>
      <c r="D19" s="2" t="s">
        <v>369</v>
      </c>
      <c r="E19" s="2" t="s">
        <v>166</v>
      </c>
      <c r="F19" s="2" t="s">
        <v>370</v>
      </c>
      <c r="G19" s="2" t="s">
        <v>370</v>
      </c>
      <c r="H19" s="2" t="s">
        <v>146</v>
      </c>
      <c r="I19" s="2" t="s">
        <v>218</v>
      </c>
      <c r="J19" s="2" t="s">
        <v>371</v>
      </c>
      <c r="K19" s="2" t="s">
        <v>372</v>
      </c>
      <c r="L19" s="2" t="s">
        <v>373</v>
      </c>
      <c r="M19" s="2"/>
      <c r="N19" s="2"/>
      <c r="O19" s="2" t="s">
        <v>359</v>
      </c>
      <c r="P19" s="2" t="s">
        <v>374</v>
      </c>
      <c r="Q19" s="2"/>
      <c r="R19" s="2" t="s">
        <v>375</v>
      </c>
      <c r="S19" s="2" t="s">
        <v>376</v>
      </c>
      <c r="T19" s="2" t="s">
        <v>377</v>
      </c>
      <c r="U19" s="2" t="s">
        <v>378</v>
      </c>
      <c r="V19" s="2" t="s">
        <v>181</v>
      </c>
      <c r="W19" s="2" t="s">
        <v>379</v>
      </c>
      <c r="X19" s="2" t="s">
        <v>380</v>
      </c>
      <c r="Y19" s="2" t="s">
        <v>161</v>
      </c>
      <c r="Z19" s="2" t="s">
        <v>140</v>
      </c>
    </row>
    <row r="20" spans="1:26" ht="48" customHeight="1" x14ac:dyDescent="0.2">
      <c r="A20" s="2" t="s">
        <v>381</v>
      </c>
      <c r="B20" s="2" t="s">
        <v>382</v>
      </c>
      <c r="C20" s="2" t="s">
        <v>383</v>
      </c>
      <c r="D20" s="2" t="s">
        <v>384</v>
      </c>
      <c r="E20" s="2" t="s">
        <v>166</v>
      </c>
      <c r="F20" s="7">
        <v>46261</v>
      </c>
      <c r="G20" s="7">
        <v>46244</v>
      </c>
      <c r="H20" s="2" t="s">
        <v>122</v>
      </c>
      <c r="I20" s="2" t="s">
        <v>256</v>
      </c>
      <c r="J20" s="2" t="s">
        <v>385</v>
      </c>
      <c r="K20" s="2" t="s">
        <v>386</v>
      </c>
      <c r="L20" s="2" t="s">
        <v>387</v>
      </c>
      <c r="M20" s="2"/>
      <c r="N20" s="2"/>
      <c r="O20" s="2" t="s">
        <v>388</v>
      </c>
      <c r="P20" s="2" t="s">
        <v>389</v>
      </c>
      <c r="Q20" s="2" t="s">
        <v>390</v>
      </c>
      <c r="R20" s="2" t="s">
        <v>391</v>
      </c>
      <c r="S20" s="2" t="s">
        <v>392</v>
      </c>
      <c r="T20" s="2" t="s">
        <v>393</v>
      </c>
      <c r="U20" s="2" t="s">
        <v>394</v>
      </c>
      <c r="V20" s="2" t="s">
        <v>181</v>
      </c>
      <c r="W20" s="2" t="s">
        <v>395</v>
      </c>
      <c r="X20" s="2" t="s">
        <v>396</v>
      </c>
      <c r="Y20" s="2" t="s">
        <v>161</v>
      </c>
      <c r="Z20" s="2" t="s">
        <v>140</v>
      </c>
    </row>
    <row r="21" spans="1:26" ht="48" customHeight="1" x14ac:dyDescent="0.2">
      <c r="A21" s="2" t="s">
        <v>397</v>
      </c>
      <c r="B21" s="2" t="s">
        <v>398</v>
      </c>
      <c r="C21" s="2" t="s">
        <v>399</v>
      </c>
      <c r="D21" s="2" t="s">
        <v>400</v>
      </c>
      <c r="E21" s="2" t="s">
        <v>166</v>
      </c>
      <c r="F21" s="7">
        <v>46254</v>
      </c>
      <c r="G21" s="7">
        <v>46232</v>
      </c>
      <c r="H21" s="2" t="s">
        <v>355</v>
      </c>
      <c r="I21" s="2" t="s">
        <v>355</v>
      </c>
      <c r="J21" s="2" t="s">
        <v>356</v>
      </c>
      <c r="K21" s="2" t="s">
        <v>401</v>
      </c>
      <c r="L21" s="6" t="s">
        <v>402</v>
      </c>
      <c r="M21" s="2"/>
      <c r="N21" s="2"/>
      <c r="O21" s="2" t="s">
        <v>403</v>
      </c>
      <c r="P21" s="2" t="s">
        <v>404</v>
      </c>
      <c r="Q21" s="2"/>
      <c r="R21" s="2" t="s">
        <v>405</v>
      </c>
      <c r="S21" s="2" t="s">
        <v>406</v>
      </c>
      <c r="T21" s="2" t="s">
        <v>407</v>
      </c>
      <c r="U21" s="2" t="s">
        <v>408</v>
      </c>
      <c r="V21" s="2" t="s">
        <v>181</v>
      </c>
      <c r="W21" s="2" t="s">
        <v>409</v>
      </c>
      <c r="X21" s="2" t="s">
        <v>410</v>
      </c>
      <c r="Y21" s="2" t="s">
        <v>161</v>
      </c>
      <c r="Z21" s="2" t="s">
        <v>140</v>
      </c>
    </row>
    <row r="22" spans="1:26" ht="48" customHeight="1" x14ac:dyDescent="0.2">
      <c r="A22" s="2" t="s">
        <v>411</v>
      </c>
      <c r="B22" s="2" t="s">
        <v>412</v>
      </c>
      <c r="C22" s="2" t="s">
        <v>413</v>
      </c>
      <c r="D22" s="2" t="s">
        <v>400</v>
      </c>
      <c r="E22" s="2" t="s">
        <v>166</v>
      </c>
      <c r="F22" s="7">
        <v>46254</v>
      </c>
      <c r="G22" s="2" t="s">
        <v>414</v>
      </c>
      <c r="H22" s="2" t="s">
        <v>355</v>
      </c>
      <c r="I22" s="2" t="s">
        <v>355</v>
      </c>
      <c r="J22" s="2" t="s">
        <v>356</v>
      </c>
      <c r="K22" s="2" t="s">
        <v>415</v>
      </c>
      <c r="L22" s="6" t="s">
        <v>416</v>
      </c>
      <c r="M22" s="2"/>
      <c r="N22" s="2"/>
      <c r="O22" s="2" t="s">
        <v>403</v>
      </c>
      <c r="P22" s="2" t="s">
        <v>417</v>
      </c>
      <c r="Q22" s="2"/>
      <c r="R22" s="2" t="s">
        <v>418</v>
      </c>
      <c r="S22" s="2" t="s">
        <v>419</v>
      </c>
      <c r="T22" s="2" t="s">
        <v>420</v>
      </c>
      <c r="U22" s="2" t="s">
        <v>421</v>
      </c>
      <c r="V22" s="2" t="s">
        <v>181</v>
      </c>
      <c r="W22" s="2" t="s">
        <v>409</v>
      </c>
      <c r="X22" s="2" t="s">
        <v>422</v>
      </c>
      <c r="Y22" s="2" t="s">
        <v>161</v>
      </c>
      <c r="Z22" s="2" t="s">
        <v>140</v>
      </c>
    </row>
    <row r="23" spans="1:26" ht="90" customHeight="1" x14ac:dyDescent="0.2">
      <c r="A23" s="2" t="s">
        <v>423</v>
      </c>
      <c r="B23" s="2" t="s">
        <v>424</v>
      </c>
      <c r="C23" s="2" t="s">
        <v>336</v>
      </c>
      <c r="D23" s="2" t="s">
        <v>425</v>
      </c>
      <c r="E23" s="2" t="s">
        <v>426</v>
      </c>
      <c r="F23" s="2" t="s">
        <v>427</v>
      </c>
      <c r="G23" s="8" t="s">
        <v>428</v>
      </c>
      <c r="H23" s="2" t="s">
        <v>429</v>
      </c>
      <c r="I23" s="2" t="s">
        <v>430</v>
      </c>
      <c r="J23" s="2" t="s">
        <v>431</v>
      </c>
      <c r="K23" s="2" t="s">
        <v>432</v>
      </c>
      <c r="L23" s="6" t="s">
        <v>433</v>
      </c>
      <c r="M23" s="2"/>
      <c r="N23" s="2"/>
      <c r="O23" s="2" t="s">
        <v>434</v>
      </c>
      <c r="P23" s="2" t="s">
        <v>435</v>
      </c>
      <c r="Q23" s="2" t="s">
        <v>436</v>
      </c>
      <c r="R23" s="2" t="s">
        <v>437</v>
      </c>
      <c r="S23" s="2" t="s">
        <v>438</v>
      </c>
      <c r="T23" s="2" t="s">
        <v>439</v>
      </c>
      <c r="U23" s="2" t="s">
        <v>440</v>
      </c>
      <c r="V23" s="2" t="s">
        <v>181</v>
      </c>
      <c r="W23" s="2" t="s">
        <v>441</v>
      </c>
      <c r="X23" s="2" t="s">
        <v>442</v>
      </c>
      <c r="Y23" s="2" t="s">
        <v>161</v>
      </c>
      <c r="Z23" s="2" t="s">
        <v>140</v>
      </c>
    </row>
    <row r="24" spans="1:26" ht="62" customHeight="1" x14ac:dyDescent="0.2">
      <c r="A24" s="2" t="s">
        <v>443</v>
      </c>
      <c r="B24" s="2" t="s">
        <v>444</v>
      </c>
      <c r="C24" s="2" t="s">
        <v>215</v>
      </c>
      <c r="D24" s="2" t="s">
        <v>445</v>
      </c>
      <c r="E24" s="2" t="s">
        <v>446</v>
      </c>
      <c r="F24" s="7">
        <v>46261</v>
      </c>
      <c r="G24" s="7">
        <v>46261</v>
      </c>
      <c r="H24" s="2" t="s">
        <v>218</v>
      </c>
      <c r="I24" s="2" t="s">
        <v>218</v>
      </c>
      <c r="J24" s="2" t="s">
        <v>447</v>
      </c>
      <c r="K24" s="2" t="s">
        <v>448</v>
      </c>
      <c r="L24" s="2" t="s">
        <v>449</v>
      </c>
      <c r="M24" s="2"/>
      <c r="N24" s="2"/>
      <c r="O24" s="2" t="s">
        <v>450</v>
      </c>
      <c r="P24" s="2" t="s">
        <v>451</v>
      </c>
      <c r="Q24" s="2" t="s">
        <v>452</v>
      </c>
      <c r="R24" s="2" t="s">
        <v>453</v>
      </c>
      <c r="S24" s="2" t="s">
        <v>454</v>
      </c>
      <c r="T24" s="2" t="s">
        <v>455</v>
      </c>
      <c r="U24" s="2" t="s">
        <v>456</v>
      </c>
      <c r="V24" s="2" t="s">
        <v>136</v>
      </c>
      <c r="W24" s="2" t="s">
        <v>457</v>
      </c>
      <c r="X24" s="2" t="s">
        <v>458</v>
      </c>
      <c r="Y24" s="2" t="s">
        <v>161</v>
      </c>
      <c r="Z24" s="2" t="s">
        <v>140</v>
      </c>
    </row>
    <row r="25" spans="1:26" ht="62" customHeight="1" x14ac:dyDescent="0.2">
      <c r="A25" s="2" t="s">
        <v>459</v>
      </c>
      <c r="B25" s="2" t="s">
        <v>460</v>
      </c>
      <c r="C25" s="2" t="s">
        <v>413</v>
      </c>
      <c r="D25" s="2" t="s">
        <v>461</v>
      </c>
      <c r="E25" s="2" t="s">
        <v>120</v>
      </c>
      <c r="F25" s="7">
        <v>46255</v>
      </c>
      <c r="G25" s="7">
        <v>46259</v>
      </c>
      <c r="H25" s="2" t="s">
        <v>219</v>
      </c>
      <c r="I25" s="2" t="s">
        <v>219</v>
      </c>
      <c r="J25" s="2" t="s">
        <v>462</v>
      </c>
      <c r="K25" s="2" t="s">
        <v>463</v>
      </c>
      <c r="L25" s="6" t="s">
        <v>464</v>
      </c>
      <c r="M25" s="2"/>
      <c r="N25" s="2"/>
      <c r="O25" s="2" t="s">
        <v>465</v>
      </c>
      <c r="P25" s="2" t="s">
        <v>466</v>
      </c>
      <c r="Q25" s="2"/>
      <c r="R25" s="2" t="s">
        <v>467</v>
      </c>
      <c r="S25" s="2" t="s">
        <v>468</v>
      </c>
      <c r="T25" s="2" t="s">
        <v>469</v>
      </c>
      <c r="U25" s="2" t="s">
        <v>470</v>
      </c>
      <c r="V25" s="2" t="s">
        <v>181</v>
      </c>
      <c r="W25" s="2" t="s">
        <v>471</v>
      </c>
      <c r="X25" s="2" t="s">
        <v>472</v>
      </c>
      <c r="Y25" s="2" t="s">
        <v>161</v>
      </c>
      <c r="Z25" s="2" t="s">
        <v>140</v>
      </c>
    </row>
    <row r="26" spans="1:26" ht="76" customHeight="1" x14ac:dyDescent="0.2">
      <c r="A26" s="2" t="s">
        <v>473</v>
      </c>
      <c r="B26" s="2" t="s">
        <v>474</v>
      </c>
      <c r="C26" s="2" t="s">
        <v>399</v>
      </c>
      <c r="D26" s="2" t="s">
        <v>475</v>
      </c>
      <c r="E26" s="2" t="s">
        <v>166</v>
      </c>
      <c r="F26" s="7">
        <v>46255</v>
      </c>
      <c r="G26" s="7">
        <v>46255</v>
      </c>
      <c r="H26" s="2" t="s">
        <v>476</v>
      </c>
      <c r="I26" s="2" t="s">
        <v>291</v>
      </c>
      <c r="J26" s="2" t="s">
        <v>292</v>
      </c>
      <c r="K26" s="2" t="s">
        <v>477</v>
      </c>
      <c r="L26" s="6" t="s">
        <v>478</v>
      </c>
      <c r="M26" s="2"/>
      <c r="N26" s="2"/>
      <c r="O26" s="2" t="s">
        <v>479</v>
      </c>
      <c r="P26" s="2" t="s">
        <v>480</v>
      </c>
      <c r="Q26" s="2" t="s">
        <v>481</v>
      </c>
      <c r="R26" s="2" t="s">
        <v>482</v>
      </c>
      <c r="S26" s="2" t="s">
        <v>483</v>
      </c>
      <c r="T26" s="2" t="s">
        <v>484</v>
      </c>
      <c r="U26" s="2" t="s">
        <v>485</v>
      </c>
      <c r="V26" s="2" t="s">
        <v>181</v>
      </c>
      <c r="W26" s="2" t="s">
        <v>486</v>
      </c>
      <c r="X26" s="2" t="s">
        <v>487</v>
      </c>
      <c r="Y26" s="2" t="s">
        <v>161</v>
      </c>
      <c r="Z26" s="2" t="s">
        <v>140</v>
      </c>
    </row>
    <row r="27" spans="1:26" ht="90" customHeight="1" x14ac:dyDescent="0.2">
      <c r="A27" s="2" t="s">
        <v>488</v>
      </c>
      <c r="B27" s="2" t="s">
        <v>489</v>
      </c>
      <c r="C27" s="2" t="s">
        <v>143</v>
      </c>
      <c r="D27" s="2" t="s">
        <v>490</v>
      </c>
      <c r="E27" s="2" t="s">
        <v>491</v>
      </c>
      <c r="F27" s="2" t="s">
        <v>492</v>
      </c>
      <c r="G27" s="2" t="s">
        <v>493</v>
      </c>
      <c r="H27" s="2" t="s">
        <v>219</v>
      </c>
      <c r="I27" s="2" t="s">
        <v>273</v>
      </c>
      <c r="J27" s="2" t="s">
        <v>462</v>
      </c>
      <c r="K27" s="2" t="s">
        <v>494</v>
      </c>
      <c r="L27" s="6" t="s">
        <v>495</v>
      </c>
      <c r="M27" s="2" t="s">
        <v>496</v>
      </c>
      <c r="N27" s="2" t="s">
        <v>497</v>
      </c>
      <c r="O27" s="2" t="s">
        <v>498</v>
      </c>
      <c r="P27" s="2" t="s">
        <v>499</v>
      </c>
      <c r="Q27" s="2" t="s">
        <v>500</v>
      </c>
      <c r="R27" s="2" t="s">
        <v>501</v>
      </c>
      <c r="S27" s="2" t="s">
        <v>502</v>
      </c>
      <c r="T27" s="2" t="s">
        <v>503</v>
      </c>
      <c r="U27" s="2" t="s">
        <v>504</v>
      </c>
      <c r="V27" s="2" t="s">
        <v>181</v>
      </c>
      <c r="W27" s="2" t="s">
        <v>505</v>
      </c>
      <c r="X27" s="2" t="s">
        <v>506</v>
      </c>
      <c r="Y27" s="2" t="s">
        <v>161</v>
      </c>
      <c r="Z27" s="2" t="s">
        <v>140</v>
      </c>
    </row>
    <row r="28" spans="1:26" ht="90" customHeight="1" x14ac:dyDescent="0.2">
      <c r="A28" s="2" t="s">
        <v>507</v>
      </c>
      <c r="B28" s="2" t="s">
        <v>508</v>
      </c>
      <c r="C28" s="2" t="s">
        <v>352</v>
      </c>
      <c r="D28" s="2" t="s">
        <v>509</v>
      </c>
      <c r="E28" s="2" t="s">
        <v>510</v>
      </c>
      <c r="F28" s="7">
        <v>46263</v>
      </c>
      <c r="G28" s="7">
        <v>46263</v>
      </c>
      <c r="H28" s="2" t="s">
        <v>219</v>
      </c>
      <c r="I28" s="2" t="s">
        <v>219</v>
      </c>
      <c r="J28" s="2" t="s">
        <v>462</v>
      </c>
      <c r="K28" s="2" t="s">
        <v>511</v>
      </c>
      <c r="L28" s="2" t="s">
        <v>512</v>
      </c>
      <c r="M28" s="2" t="s">
        <v>513</v>
      </c>
      <c r="N28" s="2" t="s">
        <v>514</v>
      </c>
      <c r="O28" s="2" t="s">
        <v>515</v>
      </c>
      <c r="P28" s="2" t="s">
        <v>516</v>
      </c>
      <c r="Q28" s="2" t="s">
        <v>517</v>
      </c>
      <c r="R28" s="2" t="s">
        <v>518</v>
      </c>
      <c r="S28" s="2" t="s">
        <v>519</v>
      </c>
      <c r="T28" s="2" t="s">
        <v>520</v>
      </c>
      <c r="U28" s="2" t="s">
        <v>521</v>
      </c>
      <c r="V28" s="2" t="s">
        <v>181</v>
      </c>
      <c r="W28" s="2" t="s">
        <v>522</v>
      </c>
      <c r="X28" s="2" t="s">
        <v>523</v>
      </c>
      <c r="Y28" s="2" t="s">
        <v>161</v>
      </c>
      <c r="Z28" s="2" t="s">
        <v>140</v>
      </c>
    </row>
    <row r="29" spans="1:26" ht="62" customHeight="1" x14ac:dyDescent="0.2">
      <c r="A29" s="2" t="s">
        <v>524</v>
      </c>
      <c r="B29" s="2" t="s">
        <v>525</v>
      </c>
      <c r="C29" s="2" t="s">
        <v>233</v>
      </c>
      <c r="D29" s="2" t="s">
        <v>526</v>
      </c>
      <c r="E29" s="2" t="s">
        <v>527</v>
      </c>
      <c r="F29" s="7">
        <v>46262</v>
      </c>
      <c r="G29" s="7">
        <v>46262</v>
      </c>
      <c r="H29" s="2" t="s">
        <v>218</v>
      </c>
      <c r="I29" s="2" t="s">
        <v>291</v>
      </c>
      <c r="J29" s="2" t="s">
        <v>528</v>
      </c>
      <c r="K29" s="2" t="s">
        <v>529</v>
      </c>
      <c r="L29" s="6" t="s">
        <v>530</v>
      </c>
      <c r="M29" s="2"/>
      <c r="N29" s="2"/>
      <c r="O29" s="2" t="s">
        <v>531</v>
      </c>
      <c r="P29" s="2" t="s">
        <v>532</v>
      </c>
      <c r="Q29" s="2"/>
      <c r="R29" s="2" t="s">
        <v>533</v>
      </c>
      <c r="S29" s="2" t="s">
        <v>534</v>
      </c>
      <c r="T29" s="2" t="s">
        <v>535</v>
      </c>
      <c r="U29" s="2" t="s">
        <v>536</v>
      </c>
      <c r="V29" s="2" t="s">
        <v>136</v>
      </c>
      <c r="W29" s="2" t="s">
        <v>537</v>
      </c>
      <c r="X29" s="2" t="s">
        <v>538</v>
      </c>
      <c r="Y29" s="2" t="s">
        <v>161</v>
      </c>
      <c r="Z29" s="2" t="s">
        <v>140</v>
      </c>
    </row>
    <row r="30" spans="1:26" ht="90" customHeight="1" x14ac:dyDescent="0.2">
      <c r="A30" s="2" t="s">
        <v>539</v>
      </c>
      <c r="B30" s="2" t="s">
        <v>540</v>
      </c>
      <c r="C30" s="2" t="s">
        <v>233</v>
      </c>
      <c r="D30" s="2" t="s">
        <v>541</v>
      </c>
      <c r="E30" s="2" t="s">
        <v>542</v>
      </c>
      <c r="F30" s="7">
        <v>46261</v>
      </c>
      <c r="G30" s="7">
        <v>46262</v>
      </c>
      <c r="H30" s="2" t="s">
        <v>218</v>
      </c>
      <c r="I30" s="2" t="s">
        <v>218</v>
      </c>
      <c r="J30" s="2" t="s">
        <v>447</v>
      </c>
      <c r="K30" s="2" t="s">
        <v>543</v>
      </c>
      <c r="L30" s="6" t="s">
        <v>544</v>
      </c>
      <c r="M30" s="2" t="s">
        <v>545</v>
      </c>
      <c r="N30" s="6" t="s">
        <v>546</v>
      </c>
      <c r="O30" s="2" t="s">
        <v>547</v>
      </c>
      <c r="P30" s="2" t="s">
        <v>548</v>
      </c>
      <c r="Q30" s="2"/>
      <c r="R30" s="2" t="s">
        <v>549</v>
      </c>
      <c r="S30" s="2" t="s">
        <v>550</v>
      </c>
      <c r="T30" s="2" t="s">
        <v>551</v>
      </c>
      <c r="U30" s="2" t="s">
        <v>552</v>
      </c>
      <c r="V30" s="2" t="s">
        <v>136</v>
      </c>
      <c r="W30" s="2" t="s">
        <v>553</v>
      </c>
      <c r="X30" s="2" t="s">
        <v>554</v>
      </c>
      <c r="Y30" s="2" t="s">
        <v>161</v>
      </c>
      <c r="Z30" s="2" t="s">
        <v>140</v>
      </c>
    </row>
    <row r="31" spans="1:26" ht="90" customHeight="1" x14ac:dyDescent="0.2">
      <c r="A31" s="2" t="s">
        <v>555</v>
      </c>
      <c r="B31" s="2" t="s">
        <v>556</v>
      </c>
      <c r="C31" s="2" t="s">
        <v>143</v>
      </c>
      <c r="D31" s="2" t="s">
        <v>557</v>
      </c>
      <c r="E31" s="2" t="s">
        <v>558</v>
      </c>
      <c r="F31" s="7">
        <v>46262</v>
      </c>
      <c r="G31" s="2" t="s">
        <v>559</v>
      </c>
      <c r="H31" s="2" t="s">
        <v>219</v>
      </c>
      <c r="I31" s="2" t="s">
        <v>219</v>
      </c>
      <c r="J31" s="2" t="s">
        <v>462</v>
      </c>
      <c r="K31" s="2" t="s">
        <v>560</v>
      </c>
      <c r="L31" s="6" t="s">
        <v>561</v>
      </c>
      <c r="M31" s="2" t="s">
        <v>562</v>
      </c>
      <c r="N31" s="6" t="s">
        <v>563</v>
      </c>
      <c r="O31" s="2" t="s">
        <v>564</v>
      </c>
      <c r="P31" s="2" t="s">
        <v>565</v>
      </c>
      <c r="Q31" s="2" t="s">
        <v>566</v>
      </c>
      <c r="R31" s="2" t="s">
        <v>567</v>
      </c>
      <c r="S31" s="2" t="s">
        <v>568</v>
      </c>
      <c r="T31" s="2" t="s">
        <v>569</v>
      </c>
      <c r="U31" s="2" t="s">
        <v>570</v>
      </c>
      <c r="V31" s="2" t="s">
        <v>136</v>
      </c>
      <c r="W31" s="2" t="s">
        <v>571</v>
      </c>
      <c r="X31" s="2" t="s">
        <v>572</v>
      </c>
      <c r="Y31" s="2" t="s">
        <v>304</v>
      </c>
      <c r="Z31" s="2" t="s">
        <v>140</v>
      </c>
    </row>
    <row r="32" spans="1:26" ht="76" customHeight="1" x14ac:dyDescent="0.2">
      <c r="A32" s="2" t="s">
        <v>573</v>
      </c>
      <c r="B32" s="2" t="s">
        <v>574</v>
      </c>
      <c r="C32" s="2" t="s">
        <v>143</v>
      </c>
      <c r="D32" s="2" t="s">
        <v>575</v>
      </c>
      <c r="E32" s="2" t="s">
        <v>576</v>
      </c>
      <c r="F32" s="7">
        <v>46264</v>
      </c>
      <c r="G32" s="7">
        <v>46264</v>
      </c>
      <c r="H32" s="2" t="s">
        <v>577</v>
      </c>
      <c r="I32" s="2" t="s">
        <v>168</v>
      </c>
      <c r="J32" s="2" t="s">
        <v>578</v>
      </c>
      <c r="K32" s="2" t="s">
        <v>579</v>
      </c>
      <c r="L32" s="2" t="s">
        <v>580</v>
      </c>
      <c r="M32" s="2" t="s">
        <v>581</v>
      </c>
      <c r="N32" s="2" t="s">
        <v>582</v>
      </c>
      <c r="O32" s="2" t="s">
        <v>583</v>
      </c>
      <c r="P32" s="2" t="s">
        <v>584</v>
      </c>
      <c r="Q32" s="2" t="s">
        <v>585</v>
      </c>
      <c r="R32" s="2" t="s">
        <v>586</v>
      </c>
      <c r="S32" s="2" t="s">
        <v>587</v>
      </c>
      <c r="T32" s="2" t="s">
        <v>588</v>
      </c>
      <c r="U32" s="2" t="s">
        <v>589</v>
      </c>
      <c r="V32" s="2" t="s">
        <v>136</v>
      </c>
      <c r="W32" s="2" t="s">
        <v>590</v>
      </c>
      <c r="X32" s="2" t="s">
        <v>591</v>
      </c>
      <c r="Y32" s="2" t="s">
        <v>161</v>
      </c>
      <c r="Z32" s="2" t="s">
        <v>140</v>
      </c>
    </row>
    <row r="33" spans="1:26" ht="76" customHeight="1" x14ac:dyDescent="0.2">
      <c r="A33" s="2" t="s">
        <v>592</v>
      </c>
      <c r="B33" s="2" t="s">
        <v>593</v>
      </c>
      <c r="C33" s="2" t="s">
        <v>143</v>
      </c>
      <c r="D33" s="2" t="s">
        <v>594</v>
      </c>
      <c r="E33" s="2" t="s">
        <v>235</v>
      </c>
      <c r="F33" s="2" t="s">
        <v>595</v>
      </c>
      <c r="G33" s="7">
        <v>46265</v>
      </c>
      <c r="H33" s="2" t="s">
        <v>168</v>
      </c>
      <c r="I33" s="2" t="s">
        <v>123</v>
      </c>
      <c r="J33" s="2" t="s">
        <v>596</v>
      </c>
      <c r="K33" s="2" t="s">
        <v>597</v>
      </c>
      <c r="L33" s="6" t="s">
        <v>598</v>
      </c>
      <c r="M33" s="2" t="s">
        <v>599</v>
      </c>
      <c r="N33" s="6" t="s">
        <v>600</v>
      </c>
      <c r="O33" s="2" t="s">
        <v>601</v>
      </c>
      <c r="P33" s="2" t="s">
        <v>602</v>
      </c>
      <c r="Q33" s="2"/>
      <c r="R33" s="2" t="s">
        <v>603</v>
      </c>
      <c r="S33" s="2" t="s">
        <v>604</v>
      </c>
      <c r="T33" s="2" t="s">
        <v>605</v>
      </c>
      <c r="U33" s="2" t="s">
        <v>606</v>
      </c>
      <c r="V33" s="2" t="s">
        <v>136</v>
      </c>
      <c r="W33" s="2" t="s">
        <v>607</v>
      </c>
      <c r="X33" s="2" t="s">
        <v>608</v>
      </c>
      <c r="Y33" s="2" t="s">
        <v>161</v>
      </c>
      <c r="Z33" s="2" t="s">
        <v>140</v>
      </c>
    </row>
    <row r="34" spans="1:26" ht="62" customHeight="1" x14ac:dyDescent="0.2">
      <c r="A34" s="2" t="s">
        <v>609</v>
      </c>
      <c r="B34" s="2" t="s">
        <v>610</v>
      </c>
      <c r="C34" s="2" t="s">
        <v>143</v>
      </c>
      <c r="D34" s="2" t="s">
        <v>611</v>
      </c>
      <c r="E34" s="2" t="s">
        <v>612</v>
      </c>
      <c r="F34" s="7">
        <v>46266</v>
      </c>
      <c r="G34" s="7">
        <v>46266</v>
      </c>
      <c r="H34" s="2" t="s">
        <v>291</v>
      </c>
      <c r="I34" s="2" t="s">
        <v>291</v>
      </c>
      <c r="J34" s="2" t="s">
        <v>292</v>
      </c>
      <c r="K34" s="2" t="s">
        <v>613</v>
      </c>
      <c r="L34" s="6" t="s">
        <v>614</v>
      </c>
      <c r="M34" s="2"/>
      <c r="N34" s="2"/>
      <c r="O34" s="2" t="s">
        <v>615</v>
      </c>
      <c r="P34" s="2" t="s">
        <v>616</v>
      </c>
      <c r="Q34" s="2"/>
      <c r="R34" s="2" t="s">
        <v>617</v>
      </c>
      <c r="S34" s="2" t="s">
        <v>618</v>
      </c>
      <c r="T34" s="2" t="s">
        <v>619</v>
      </c>
      <c r="U34" s="2" t="s">
        <v>620</v>
      </c>
      <c r="V34" s="2" t="s">
        <v>136</v>
      </c>
      <c r="W34" s="2" t="s">
        <v>621</v>
      </c>
      <c r="X34" s="2" t="s">
        <v>622</v>
      </c>
      <c r="Y34" s="2" t="s">
        <v>161</v>
      </c>
      <c r="Z34" s="2" t="s">
        <v>140</v>
      </c>
    </row>
    <row r="35" spans="1:26" ht="76" customHeight="1" x14ac:dyDescent="0.2">
      <c r="A35" s="2" t="s">
        <v>623</v>
      </c>
      <c r="B35" s="2" t="s">
        <v>624</v>
      </c>
      <c r="C35" s="2" t="s">
        <v>186</v>
      </c>
      <c r="D35" s="2" t="s">
        <v>625</v>
      </c>
      <c r="E35" s="2" t="s">
        <v>612</v>
      </c>
      <c r="F35" s="7">
        <v>46266</v>
      </c>
      <c r="G35" s="2" t="s">
        <v>626</v>
      </c>
      <c r="H35" s="2" t="s">
        <v>627</v>
      </c>
      <c r="I35" s="2" t="s">
        <v>273</v>
      </c>
      <c r="J35" s="2"/>
      <c r="K35" s="2" t="s">
        <v>628</v>
      </c>
      <c r="L35" s="6" t="s">
        <v>629</v>
      </c>
      <c r="M35" s="2" t="s">
        <v>630</v>
      </c>
      <c r="N35" s="2" t="s">
        <v>631</v>
      </c>
      <c r="O35" s="2" t="s">
        <v>632</v>
      </c>
      <c r="P35" s="2" t="s">
        <v>633</v>
      </c>
      <c r="Q35" s="2" t="s">
        <v>634</v>
      </c>
      <c r="R35" s="2" t="s">
        <v>635</v>
      </c>
      <c r="S35" s="2" t="s">
        <v>636</v>
      </c>
      <c r="T35" s="2" t="s">
        <v>637</v>
      </c>
      <c r="U35" s="2" t="s">
        <v>638</v>
      </c>
      <c r="V35" s="2" t="s">
        <v>181</v>
      </c>
      <c r="W35" s="2" t="s">
        <v>639</v>
      </c>
      <c r="X35" s="2" t="s">
        <v>640</v>
      </c>
      <c r="Y35" s="2" t="s">
        <v>641</v>
      </c>
      <c r="Z35" s="2" t="s">
        <v>140</v>
      </c>
    </row>
    <row r="36" spans="1:26" ht="48" customHeight="1" x14ac:dyDescent="0.2">
      <c r="A36" s="2" t="s">
        <v>642</v>
      </c>
      <c r="B36" s="2" t="s">
        <v>643</v>
      </c>
      <c r="C36" s="2" t="s">
        <v>164</v>
      </c>
      <c r="D36" s="2" t="s">
        <v>644</v>
      </c>
      <c r="E36" s="2" t="s">
        <v>612</v>
      </c>
      <c r="F36" s="7">
        <v>46266</v>
      </c>
      <c r="G36" s="7">
        <v>46266</v>
      </c>
      <c r="H36" s="2" t="s">
        <v>627</v>
      </c>
      <c r="I36" s="2" t="s">
        <v>273</v>
      </c>
      <c r="J36" s="2"/>
      <c r="K36" s="2" t="s">
        <v>645</v>
      </c>
      <c r="L36" s="6" t="s">
        <v>646</v>
      </c>
      <c r="M36" s="2"/>
      <c r="N36" s="2"/>
      <c r="O36" s="2" t="s">
        <v>647</v>
      </c>
      <c r="P36" s="2" t="s">
        <v>648</v>
      </c>
      <c r="Q36" s="2"/>
      <c r="R36" s="2" t="s">
        <v>649</v>
      </c>
      <c r="S36" s="2" t="s">
        <v>650</v>
      </c>
      <c r="T36" s="2" t="s">
        <v>651</v>
      </c>
      <c r="U36" s="2" t="s">
        <v>652</v>
      </c>
      <c r="V36" s="2" t="s">
        <v>136</v>
      </c>
      <c r="W36" s="2" t="s">
        <v>653</v>
      </c>
      <c r="X36" s="2" t="s">
        <v>654</v>
      </c>
      <c r="Y36" s="2" t="s">
        <v>655</v>
      </c>
      <c r="Z36" s="2" t="s">
        <v>140</v>
      </c>
    </row>
    <row r="37" spans="1:26" ht="90" customHeight="1" x14ac:dyDescent="0.2">
      <c r="A37" s="2" t="s">
        <v>656</v>
      </c>
      <c r="B37" s="2" t="s">
        <v>657</v>
      </c>
      <c r="C37" s="2" t="s">
        <v>233</v>
      </c>
      <c r="D37" s="2" t="s">
        <v>658</v>
      </c>
      <c r="E37" s="2" t="s">
        <v>659</v>
      </c>
      <c r="F37" s="7">
        <v>46266</v>
      </c>
      <c r="G37" s="7">
        <v>46266</v>
      </c>
      <c r="H37" s="2" t="s">
        <v>291</v>
      </c>
      <c r="I37" s="2" t="s">
        <v>291</v>
      </c>
      <c r="J37" s="2" t="s">
        <v>292</v>
      </c>
      <c r="K37" s="2" t="s">
        <v>660</v>
      </c>
      <c r="L37" s="6" t="s">
        <v>661</v>
      </c>
      <c r="M37" s="2" t="s">
        <v>662</v>
      </c>
      <c r="N37" s="6" t="s">
        <v>663</v>
      </c>
      <c r="O37" s="2" t="s">
        <v>664</v>
      </c>
      <c r="P37" s="2" t="s">
        <v>665</v>
      </c>
      <c r="Q37" s="2"/>
      <c r="R37" s="2" t="s">
        <v>666</v>
      </c>
      <c r="S37" s="2" t="s">
        <v>667</v>
      </c>
      <c r="T37" s="2" t="s">
        <v>668</v>
      </c>
      <c r="U37" s="2" t="s">
        <v>669</v>
      </c>
      <c r="V37" s="2" t="s">
        <v>181</v>
      </c>
      <c r="W37" s="2" t="s">
        <v>670</v>
      </c>
      <c r="X37" s="2" t="s">
        <v>671</v>
      </c>
      <c r="Y37" s="2" t="s">
        <v>304</v>
      </c>
      <c r="Z37" s="2" t="s">
        <v>140</v>
      </c>
    </row>
    <row r="38" spans="1:26" ht="48" customHeight="1" x14ac:dyDescent="0.2">
      <c r="A38" s="2" t="s">
        <v>672</v>
      </c>
      <c r="B38" s="2" t="s">
        <v>673</v>
      </c>
      <c r="C38" s="2" t="s">
        <v>383</v>
      </c>
      <c r="D38" s="2" t="s">
        <v>674</v>
      </c>
      <c r="E38" s="2" t="s">
        <v>675</v>
      </c>
      <c r="F38" s="7">
        <v>46267</v>
      </c>
      <c r="G38" s="7">
        <v>46267</v>
      </c>
      <c r="H38" s="2" t="s">
        <v>123</v>
      </c>
      <c r="I38" s="2" t="s">
        <v>123</v>
      </c>
      <c r="J38" s="2" t="s">
        <v>676</v>
      </c>
      <c r="K38" s="2" t="s">
        <v>677</v>
      </c>
      <c r="L38" s="6" t="s">
        <v>678</v>
      </c>
      <c r="M38" s="2"/>
      <c r="N38" s="2"/>
      <c r="O38" s="2" t="s">
        <v>679</v>
      </c>
      <c r="P38" s="2" t="s">
        <v>680</v>
      </c>
      <c r="Q38" s="2" t="s">
        <v>681</v>
      </c>
      <c r="R38" s="2" t="s">
        <v>682</v>
      </c>
      <c r="S38" s="2" t="s">
        <v>683</v>
      </c>
      <c r="T38" s="2" t="s">
        <v>684</v>
      </c>
      <c r="U38" s="2" t="s">
        <v>685</v>
      </c>
      <c r="V38" s="2" t="s">
        <v>136</v>
      </c>
      <c r="W38" s="2" t="s">
        <v>686</v>
      </c>
      <c r="X38" s="2" t="s">
        <v>687</v>
      </c>
      <c r="Y38" s="2" t="s">
        <v>161</v>
      </c>
      <c r="Z38" s="2" t="s">
        <v>140</v>
      </c>
    </row>
    <row r="39" spans="1:26" ht="90" customHeight="1" x14ac:dyDescent="0.2">
      <c r="A39" s="2" t="s">
        <v>688</v>
      </c>
      <c r="B39" s="2" t="s">
        <v>689</v>
      </c>
      <c r="C39" s="2" t="s">
        <v>233</v>
      </c>
      <c r="D39" s="2" t="s">
        <v>690</v>
      </c>
      <c r="E39" s="2" t="s">
        <v>675</v>
      </c>
      <c r="F39" s="7">
        <v>46267</v>
      </c>
      <c r="G39" s="7">
        <v>46267</v>
      </c>
      <c r="H39" s="2" t="s">
        <v>123</v>
      </c>
      <c r="I39" s="2" t="s">
        <v>273</v>
      </c>
      <c r="J39" s="2" t="s">
        <v>676</v>
      </c>
      <c r="K39" s="2" t="s">
        <v>691</v>
      </c>
      <c r="L39" s="2" t="s">
        <v>692</v>
      </c>
      <c r="M39" s="2"/>
      <c r="N39" s="2"/>
      <c r="O39" s="2" t="s">
        <v>693</v>
      </c>
      <c r="P39" s="2" t="s">
        <v>694</v>
      </c>
      <c r="Q39" s="2"/>
      <c r="R39" s="2" t="s">
        <v>695</v>
      </c>
      <c r="S39" s="2" t="s">
        <v>696</v>
      </c>
      <c r="T39" s="2" t="s">
        <v>697</v>
      </c>
      <c r="U39" s="2" t="s">
        <v>698</v>
      </c>
      <c r="V39" s="2" t="s">
        <v>136</v>
      </c>
      <c r="W39" s="2" t="s">
        <v>699</v>
      </c>
      <c r="X39" s="2" t="s">
        <v>700</v>
      </c>
      <c r="Y39" s="2" t="s">
        <v>161</v>
      </c>
      <c r="Z39" s="2" t="s">
        <v>140</v>
      </c>
    </row>
    <row r="40" spans="1:26" ht="90" customHeight="1" x14ac:dyDescent="0.2">
      <c r="A40" s="2" t="s">
        <v>701</v>
      </c>
      <c r="B40" s="2" t="s">
        <v>702</v>
      </c>
      <c r="C40" s="2" t="s">
        <v>352</v>
      </c>
      <c r="D40" s="2" t="s">
        <v>703</v>
      </c>
      <c r="E40" s="2" t="s">
        <v>675</v>
      </c>
      <c r="F40" s="7">
        <v>46267</v>
      </c>
      <c r="G40" s="7">
        <v>46267</v>
      </c>
      <c r="H40" s="2" t="s">
        <v>704</v>
      </c>
      <c r="I40" s="2" t="s">
        <v>273</v>
      </c>
      <c r="J40" s="2" t="s">
        <v>676</v>
      </c>
      <c r="K40" s="2" t="s">
        <v>691</v>
      </c>
      <c r="L40" s="2" t="s">
        <v>692</v>
      </c>
      <c r="M40" s="2"/>
      <c r="N40" s="2"/>
      <c r="O40" s="2" t="s">
        <v>705</v>
      </c>
      <c r="P40" s="2" t="s">
        <v>706</v>
      </c>
      <c r="Q40" s="2"/>
      <c r="R40" s="2" t="s">
        <v>707</v>
      </c>
      <c r="S40" s="2" t="s">
        <v>708</v>
      </c>
      <c r="T40" s="2" t="s">
        <v>709</v>
      </c>
      <c r="U40" s="2" t="s">
        <v>710</v>
      </c>
      <c r="V40" s="2" t="s">
        <v>301</v>
      </c>
      <c r="W40" s="2" t="s">
        <v>711</v>
      </c>
      <c r="X40" s="2" t="s">
        <v>712</v>
      </c>
      <c r="Y40" s="2" t="s">
        <v>304</v>
      </c>
      <c r="Z40" s="2" t="s">
        <v>140</v>
      </c>
    </row>
    <row r="41" spans="1:26" ht="62" customHeight="1" x14ac:dyDescent="0.2">
      <c r="A41" s="2" t="s">
        <v>713</v>
      </c>
      <c r="B41" s="2" t="s">
        <v>714</v>
      </c>
      <c r="C41" s="2" t="s">
        <v>383</v>
      </c>
      <c r="D41" s="2" t="s">
        <v>715</v>
      </c>
      <c r="E41" s="2" t="s">
        <v>166</v>
      </c>
      <c r="F41" s="2" t="s">
        <v>716</v>
      </c>
      <c r="G41" s="2" t="s">
        <v>717</v>
      </c>
      <c r="H41" s="2" t="s">
        <v>122</v>
      </c>
      <c r="I41" s="2" t="s">
        <v>123</v>
      </c>
      <c r="J41" s="2" t="s">
        <v>124</v>
      </c>
      <c r="K41" s="2" t="s">
        <v>718</v>
      </c>
      <c r="L41" s="2" t="s">
        <v>719</v>
      </c>
      <c r="M41" s="2" t="s">
        <v>720</v>
      </c>
      <c r="N41" s="6" t="s">
        <v>721</v>
      </c>
      <c r="O41" s="2" t="s">
        <v>722</v>
      </c>
      <c r="P41" s="2" t="s">
        <v>723</v>
      </c>
      <c r="Q41" s="2"/>
      <c r="R41" s="2" t="s">
        <v>724</v>
      </c>
      <c r="S41" s="2" t="s">
        <v>725</v>
      </c>
      <c r="T41" s="2" t="s">
        <v>726</v>
      </c>
      <c r="U41" s="2" t="s">
        <v>727</v>
      </c>
      <c r="V41" s="2" t="s">
        <v>181</v>
      </c>
      <c r="W41" s="2" t="s">
        <v>728</v>
      </c>
      <c r="X41" s="2" t="s">
        <v>729</v>
      </c>
      <c r="Y41" s="2" t="s">
        <v>730</v>
      </c>
      <c r="Z41" s="2" t="s">
        <v>731</v>
      </c>
    </row>
    <row r="42" spans="1:26" ht="48" customHeight="1" x14ac:dyDescent="0.2">
      <c r="A42" s="2" t="s">
        <v>732</v>
      </c>
      <c r="B42" s="2" t="s">
        <v>733</v>
      </c>
      <c r="C42" s="2" t="s">
        <v>383</v>
      </c>
      <c r="D42" s="2" t="s">
        <v>734</v>
      </c>
      <c r="E42" s="2" t="s">
        <v>166</v>
      </c>
      <c r="F42" s="7">
        <v>45544</v>
      </c>
      <c r="G42" s="2" t="s">
        <v>735</v>
      </c>
      <c r="H42" s="2" t="s">
        <v>122</v>
      </c>
      <c r="I42" s="2" t="s">
        <v>146</v>
      </c>
      <c r="J42" s="2" t="s">
        <v>736</v>
      </c>
      <c r="K42" s="2" t="s">
        <v>737</v>
      </c>
      <c r="L42" s="6" t="s">
        <v>738</v>
      </c>
      <c r="M42" s="2"/>
      <c r="N42" s="2"/>
      <c r="O42" s="2" t="s">
        <v>739</v>
      </c>
      <c r="P42" s="2" t="s">
        <v>740</v>
      </c>
      <c r="Q42" s="2"/>
      <c r="R42" s="2" t="s">
        <v>741</v>
      </c>
      <c r="S42" s="2" t="s">
        <v>742</v>
      </c>
      <c r="T42" s="2" t="s">
        <v>743</v>
      </c>
      <c r="U42" s="2" t="s">
        <v>744</v>
      </c>
      <c r="V42" s="2" t="s">
        <v>181</v>
      </c>
      <c r="W42" s="2" t="s">
        <v>745</v>
      </c>
      <c r="X42" s="2" t="s">
        <v>746</v>
      </c>
      <c r="Y42" s="2" t="s">
        <v>747</v>
      </c>
      <c r="Z42" s="2" t="s">
        <v>731</v>
      </c>
    </row>
    <row r="43" spans="1:26" ht="76" customHeight="1" x14ac:dyDescent="0.2">
      <c r="A43" s="2" t="s">
        <v>748</v>
      </c>
      <c r="B43" s="2" t="s">
        <v>749</v>
      </c>
      <c r="C43" s="2" t="s">
        <v>164</v>
      </c>
      <c r="D43" s="2" t="s">
        <v>750</v>
      </c>
      <c r="E43" s="2" t="s">
        <v>166</v>
      </c>
      <c r="F43" s="2" t="s">
        <v>751</v>
      </c>
      <c r="G43" s="2" t="s">
        <v>752</v>
      </c>
      <c r="H43" s="2" t="s">
        <v>122</v>
      </c>
      <c r="I43" s="2" t="s">
        <v>123</v>
      </c>
      <c r="J43" s="2" t="s">
        <v>124</v>
      </c>
      <c r="K43" s="2" t="s">
        <v>753</v>
      </c>
      <c r="L43" s="2" t="s">
        <v>754</v>
      </c>
      <c r="M43" s="2"/>
      <c r="N43" s="2"/>
      <c r="O43" s="2" t="s">
        <v>755</v>
      </c>
      <c r="P43" s="2" t="s">
        <v>756</v>
      </c>
      <c r="Q43" s="2"/>
      <c r="R43" s="2" t="s">
        <v>757</v>
      </c>
      <c r="S43" s="2" t="s">
        <v>758</v>
      </c>
      <c r="T43" s="2" t="s">
        <v>759</v>
      </c>
      <c r="U43" s="2" t="s">
        <v>760</v>
      </c>
      <c r="V43" s="2" t="s">
        <v>181</v>
      </c>
      <c r="W43" s="2" t="s">
        <v>761</v>
      </c>
      <c r="X43" s="2" t="s">
        <v>762</v>
      </c>
      <c r="Y43" s="2" t="s">
        <v>730</v>
      </c>
      <c r="Z43" s="2" t="s">
        <v>731</v>
      </c>
    </row>
    <row r="44" spans="1:26" ht="76" customHeight="1" x14ac:dyDescent="0.2">
      <c r="A44" s="2" t="s">
        <v>763</v>
      </c>
      <c r="B44" s="2" t="s">
        <v>764</v>
      </c>
      <c r="C44" s="2" t="s">
        <v>164</v>
      </c>
      <c r="D44" s="2" t="s">
        <v>765</v>
      </c>
      <c r="E44" s="2" t="s">
        <v>166</v>
      </c>
      <c r="F44" s="2" t="s">
        <v>766</v>
      </c>
      <c r="G44" s="7">
        <v>46156</v>
      </c>
      <c r="H44" s="2" t="s">
        <v>122</v>
      </c>
      <c r="I44" s="2" t="s">
        <v>123</v>
      </c>
      <c r="J44" s="2" t="s">
        <v>124</v>
      </c>
      <c r="K44" s="2" t="s">
        <v>767</v>
      </c>
      <c r="L44" s="2" t="s">
        <v>768</v>
      </c>
      <c r="M44" s="2"/>
      <c r="N44" s="2"/>
      <c r="O44" s="2" t="s">
        <v>769</v>
      </c>
      <c r="P44" s="2" t="s">
        <v>770</v>
      </c>
      <c r="Q44" s="2"/>
      <c r="R44" s="2" t="s">
        <v>771</v>
      </c>
      <c r="S44" s="2" t="s">
        <v>772</v>
      </c>
      <c r="T44" s="2" t="s">
        <v>773</v>
      </c>
      <c r="U44" s="2" t="s">
        <v>774</v>
      </c>
      <c r="V44" s="2" t="s">
        <v>136</v>
      </c>
      <c r="W44" s="2" t="s">
        <v>775</v>
      </c>
      <c r="X44" s="2" t="s">
        <v>776</v>
      </c>
      <c r="Y44" s="2" t="s">
        <v>747</v>
      </c>
      <c r="Z44" s="2" t="s">
        <v>731</v>
      </c>
    </row>
    <row r="45" spans="1:26" ht="76" customHeight="1" x14ac:dyDescent="0.2">
      <c r="A45" s="2" t="s">
        <v>777</v>
      </c>
      <c r="B45" s="2" t="s">
        <v>778</v>
      </c>
      <c r="C45" s="2" t="s">
        <v>186</v>
      </c>
      <c r="D45" s="2" t="s">
        <v>779</v>
      </c>
      <c r="E45" s="2" t="s">
        <v>780</v>
      </c>
      <c r="F45" s="2" t="s">
        <v>781</v>
      </c>
      <c r="G45" s="2" t="s">
        <v>782</v>
      </c>
      <c r="H45" s="2" t="s">
        <v>122</v>
      </c>
      <c r="I45" s="2" t="s">
        <v>123</v>
      </c>
      <c r="J45" s="2" t="s">
        <v>783</v>
      </c>
      <c r="K45" s="2" t="s">
        <v>784</v>
      </c>
      <c r="L45" s="2" t="s">
        <v>785</v>
      </c>
      <c r="M45" s="2" t="s">
        <v>786</v>
      </c>
      <c r="N45" s="6" t="s">
        <v>787</v>
      </c>
      <c r="O45" s="2" t="s">
        <v>788</v>
      </c>
      <c r="P45" s="2" t="s">
        <v>789</v>
      </c>
      <c r="Q45" s="2"/>
      <c r="R45" s="2" t="s">
        <v>790</v>
      </c>
      <c r="S45" s="2" t="s">
        <v>791</v>
      </c>
      <c r="T45" s="2" t="s">
        <v>792</v>
      </c>
      <c r="U45" s="2" t="s">
        <v>793</v>
      </c>
      <c r="V45" s="2" t="s">
        <v>181</v>
      </c>
      <c r="W45" s="2" t="s">
        <v>794</v>
      </c>
      <c r="X45" s="2" t="s">
        <v>795</v>
      </c>
      <c r="Y45" s="2" t="s">
        <v>730</v>
      </c>
      <c r="Z45" s="2" t="s">
        <v>731</v>
      </c>
    </row>
    <row r="46" spans="1:26" ht="62" customHeight="1" x14ac:dyDescent="0.2">
      <c r="A46" s="2" t="s">
        <v>796</v>
      </c>
      <c r="B46" s="2" t="s">
        <v>797</v>
      </c>
      <c r="C46" s="2" t="s">
        <v>233</v>
      </c>
      <c r="D46" s="2" t="s">
        <v>798</v>
      </c>
      <c r="E46" s="2" t="s">
        <v>799</v>
      </c>
      <c r="F46" s="2" t="s">
        <v>800</v>
      </c>
      <c r="G46" s="2" t="s">
        <v>735</v>
      </c>
      <c r="H46" s="2" t="s">
        <v>190</v>
      </c>
      <c r="I46" s="2" t="s">
        <v>123</v>
      </c>
      <c r="J46" s="2" t="s">
        <v>801</v>
      </c>
      <c r="K46" s="2" t="s">
        <v>802</v>
      </c>
      <c r="L46" s="6" t="s">
        <v>803</v>
      </c>
      <c r="M46" s="2"/>
      <c r="N46" s="2"/>
      <c r="O46" s="2" t="s">
        <v>804</v>
      </c>
      <c r="P46" s="2" t="s">
        <v>805</v>
      </c>
      <c r="Q46" s="2"/>
      <c r="R46" s="2" t="s">
        <v>806</v>
      </c>
      <c r="S46" s="2" t="s">
        <v>807</v>
      </c>
      <c r="T46" s="2" t="s">
        <v>808</v>
      </c>
      <c r="U46" s="2" t="s">
        <v>809</v>
      </c>
      <c r="V46" s="2" t="s">
        <v>181</v>
      </c>
      <c r="W46" s="2" t="s">
        <v>810</v>
      </c>
      <c r="X46" s="2" t="s">
        <v>811</v>
      </c>
      <c r="Y46" s="2" t="s">
        <v>730</v>
      </c>
      <c r="Z46" s="2" t="s">
        <v>731</v>
      </c>
    </row>
    <row r="47" spans="1:26" ht="104" customHeight="1" x14ac:dyDescent="0.2">
      <c r="A47" s="2" t="s">
        <v>812</v>
      </c>
      <c r="B47" s="2" t="s">
        <v>813</v>
      </c>
      <c r="C47" s="2" t="s">
        <v>399</v>
      </c>
      <c r="D47" s="2" t="s">
        <v>814</v>
      </c>
      <c r="E47" s="2" t="s">
        <v>166</v>
      </c>
      <c r="F47" s="2" t="s">
        <v>815</v>
      </c>
      <c r="G47" s="2" t="s">
        <v>816</v>
      </c>
      <c r="H47" s="2" t="s">
        <v>122</v>
      </c>
      <c r="I47" s="2" t="s">
        <v>123</v>
      </c>
      <c r="J47" s="2" t="s">
        <v>817</v>
      </c>
      <c r="K47" s="2" t="s">
        <v>818</v>
      </c>
      <c r="L47" s="2" t="s">
        <v>819</v>
      </c>
      <c r="M47" s="2"/>
      <c r="N47" s="2"/>
      <c r="O47" s="2" t="s">
        <v>820</v>
      </c>
      <c r="P47" s="2" t="s">
        <v>821</v>
      </c>
      <c r="Q47" s="2" t="s">
        <v>822</v>
      </c>
      <c r="R47" s="2" t="s">
        <v>823</v>
      </c>
      <c r="S47" s="2" t="s">
        <v>824</v>
      </c>
      <c r="T47" s="2" t="s">
        <v>825</v>
      </c>
      <c r="U47" s="2" t="s">
        <v>826</v>
      </c>
      <c r="V47" s="2" t="s">
        <v>181</v>
      </c>
      <c r="W47" s="2" t="s">
        <v>827</v>
      </c>
      <c r="X47" s="2" t="s">
        <v>828</v>
      </c>
      <c r="Y47" s="2" t="s">
        <v>730</v>
      </c>
      <c r="Z47" s="2" t="s">
        <v>731</v>
      </c>
    </row>
    <row r="48" spans="1:26" ht="48" customHeight="1" x14ac:dyDescent="0.2">
      <c r="A48" s="2" t="s">
        <v>829</v>
      </c>
      <c r="B48" s="2" t="s">
        <v>830</v>
      </c>
      <c r="C48" s="2" t="s">
        <v>336</v>
      </c>
      <c r="D48" s="2" t="s">
        <v>831</v>
      </c>
      <c r="E48" s="2" t="s">
        <v>166</v>
      </c>
      <c r="F48" s="7">
        <v>46198</v>
      </c>
      <c r="G48" s="7">
        <v>46198</v>
      </c>
      <c r="H48" s="2" t="s">
        <v>122</v>
      </c>
      <c r="I48" s="2" t="s">
        <v>123</v>
      </c>
      <c r="J48" s="2" t="s">
        <v>817</v>
      </c>
      <c r="K48" s="2" t="s">
        <v>832</v>
      </c>
      <c r="L48" s="6" t="s">
        <v>833</v>
      </c>
      <c r="M48" s="2"/>
      <c r="N48" s="2"/>
      <c r="O48" s="2" t="s">
        <v>834</v>
      </c>
      <c r="P48" s="2" t="s">
        <v>835</v>
      </c>
      <c r="Q48" s="2"/>
      <c r="R48" s="2" t="s">
        <v>836</v>
      </c>
      <c r="S48" s="2" t="s">
        <v>837</v>
      </c>
      <c r="T48" s="2" t="s">
        <v>838</v>
      </c>
      <c r="U48" s="2" t="s">
        <v>839</v>
      </c>
      <c r="V48" s="2" t="s">
        <v>181</v>
      </c>
      <c r="W48" s="2" t="s">
        <v>840</v>
      </c>
      <c r="X48" s="2" t="s">
        <v>841</v>
      </c>
      <c r="Y48" s="2" t="s">
        <v>730</v>
      </c>
      <c r="Z48" s="2" t="s">
        <v>731</v>
      </c>
    </row>
    <row r="49" spans="1:26" ht="62" customHeight="1" x14ac:dyDescent="0.2">
      <c r="A49" s="2" t="s">
        <v>842</v>
      </c>
      <c r="B49" s="2" t="s">
        <v>843</v>
      </c>
      <c r="C49" s="2" t="s">
        <v>399</v>
      </c>
      <c r="D49" s="2" t="s">
        <v>844</v>
      </c>
      <c r="E49" s="2" t="s">
        <v>166</v>
      </c>
      <c r="F49" s="2" t="s">
        <v>845</v>
      </c>
      <c r="G49" s="7">
        <v>46227</v>
      </c>
      <c r="H49" s="2" t="s">
        <v>122</v>
      </c>
      <c r="I49" s="2" t="s">
        <v>123</v>
      </c>
      <c r="J49" s="2" t="s">
        <v>846</v>
      </c>
      <c r="K49" s="2" t="s">
        <v>847</v>
      </c>
      <c r="L49" s="6" t="s">
        <v>848</v>
      </c>
      <c r="M49" s="2"/>
      <c r="N49" s="2"/>
      <c r="O49" s="2" t="s">
        <v>849</v>
      </c>
      <c r="P49" s="2" t="s">
        <v>850</v>
      </c>
      <c r="Q49" s="2" t="s">
        <v>851</v>
      </c>
      <c r="R49" s="2" t="s">
        <v>852</v>
      </c>
      <c r="S49" s="2" t="s">
        <v>853</v>
      </c>
      <c r="T49" s="2" t="s">
        <v>854</v>
      </c>
      <c r="U49" s="2" t="s">
        <v>855</v>
      </c>
      <c r="V49" s="2" t="s">
        <v>181</v>
      </c>
      <c r="W49" s="2" t="s">
        <v>856</v>
      </c>
      <c r="X49" s="2" t="s">
        <v>857</v>
      </c>
      <c r="Y49" s="2" t="s">
        <v>730</v>
      </c>
      <c r="Z49" s="2" t="s">
        <v>731</v>
      </c>
    </row>
    <row r="50" spans="1:26" ht="48" customHeight="1" x14ac:dyDescent="0.2">
      <c r="A50" s="2" t="s">
        <v>858</v>
      </c>
      <c r="B50" s="2" t="s">
        <v>859</v>
      </c>
      <c r="C50" s="2" t="s">
        <v>399</v>
      </c>
      <c r="D50" s="2" t="s">
        <v>860</v>
      </c>
      <c r="E50" s="2" t="s">
        <v>675</v>
      </c>
      <c r="F50" s="2" t="s">
        <v>861</v>
      </c>
      <c r="G50" s="2" t="s">
        <v>735</v>
      </c>
      <c r="H50" s="2" t="s">
        <v>122</v>
      </c>
      <c r="I50" s="2" t="s">
        <v>218</v>
      </c>
      <c r="J50" s="2" t="s">
        <v>862</v>
      </c>
      <c r="K50" s="2" t="s">
        <v>863</v>
      </c>
      <c r="L50" s="6" t="s">
        <v>864</v>
      </c>
      <c r="M50" s="2"/>
      <c r="N50" s="2"/>
      <c r="O50" s="2" t="s">
        <v>865</v>
      </c>
      <c r="P50" s="2" t="s">
        <v>866</v>
      </c>
      <c r="Q50" s="2"/>
      <c r="R50" s="2" t="s">
        <v>867</v>
      </c>
      <c r="S50" s="2" t="s">
        <v>868</v>
      </c>
      <c r="T50" s="2" t="s">
        <v>869</v>
      </c>
      <c r="U50" s="2" t="s">
        <v>870</v>
      </c>
      <c r="V50" s="2" t="s">
        <v>301</v>
      </c>
      <c r="W50" s="2" t="s">
        <v>871</v>
      </c>
      <c r="X50" s="2" t="s">
        <v>872</v>
      </c>
      <c r="Y50" s="2" t="s">
        <v>873</v>
      </c>
      <c r="Z50" s="2" t="s">
        <v>252</v>
      </c>
    </row>
    <row r="51" spans="1:26" ht="62" customHeight="1" x14ac:dyDescent="0.2">
      <c r="A51" s="2" t="s">
        <v>874</v>
      </c>
      <c r="B51" s="2" t="s">
        <v>875</v>
      </c>
      <c r="C51" s="2" t="s">
        <v>399</v>
      </c>
      <c r="D51" s="2" t="s">
        <v>860</v>
      </c>
      <c r="E51" s="2" t="s">
        <v>675</v>
      </c>
      <c r="F51" s="7">
        <v>46205</v>
      </c>
      <c r="G51" s="2" t="s">
        <v>414</v>
      </c>
      <c r="H51" s="2" t="s">
        <v>122</v>
      </c>
      <c r="I51" s="2" t="s">
        <v>122</v>
      </c>
      <c r="J51" s="2" t="s">
        <v>876</v>
      </c>
      <c r="K51" s="2" t="s">
        <v>877</v>
      </c>
      <c r="L51" s="6" t="s">
        <v>878</v>
      </c>
      <c r="M51" s="2"/>
      <c r="N51" s="2"/>
      <c r="O51" s="2" t="s">
        <v>879</v>
      </c>
      <c r="P51" s="2" t="s">
        <v>880</v>
      </c>
      <c r="Q51" s="2"/>
      <c r="R51" s="2" t="s">
        <v>881</v>
      </c>
      <c r="S51" s="2" t="s">
        <v>882</v>
      </c>
      <c r="T51" s="2" t="s">
        <v>883</v>
      </c>
      <c r="U51" s="2" t="s">
        <v>884</v>
      </c>
      <c r="V51" s="2" t="s">
        <v>181</v>
      </c>
      <c r="W51" s="2" t="s">
        <v>885</v>
      </c>
      <c r="X51" s="2" t="s">
        <v>886</v>
      </c>
      <c r="Y51" s="2" t="s">
        <v>730</v>
      </c>
      <c r="Z51" s="2" t="s">
        <v>731</v>
      </c>
    </row>
    <row r="52" spans="1:26" ht="48" customHeight="1" x14ac:dyDescent="0.2">
      <c r="A52" s="2" t="s">
        <v>887</v>
      </c>
      <c r="B52" s="2" t="s">
        <v>888</v>
      </c>
      <c r="C52" s="2" t="s">
        <v>399</v>
      </c>
      <c r="D52" s="2" t="s">
        <v>860</v>
      </c>
      <c r="E52" s="2" t="s">
        <v>675</v>
      </c>
      <c r="F52" s="2" t="s">
        <v>889</v>
      </c>
      <c r="G52" s="2" t="s">
        <v>735</v>
      </c>
      <c r="H52" s="2" t="s">
        <v>890</v>
      </c>
      <c r="I52" s="2" t="s">
        <v>218</v>
      </c>
      <c r="J52" s="2" t="s">
        <v>891</v>
      </c>
      <c r="K52" s="2" t="s">
        <v>863</v>
      </c>
      <c r="L52" s="6" t="s">
        <v>864</v>
      </c>
      <c r="M52" s="2"/>
      <c r="N52" s="2"/>
      <c r="O52" s="2" t="s">
        <v>892</v>
      </c>
      <c r="P52" s="2" t="s">
        <v>893</v>
      </c>
      <c r="Q52" s="2"/>
      <c r="R52" s="2" t="s">
        <v>894</v>
      </c>
      <c r="S52" s="2" t="s">
        <v>895</v>
      </c>
      <c r="T52" s="2" t="s">
        <v>896</v>
      </c>
      <c r="U52" s="2" t="s">
        <v>897</v>
      </c>
      <c r="V52" s="2" t="s">
        <v>301</v>
      </c>
      <c r="W52" s="2" t="s">
        <v>898</v>
      </c>
      <c r="X52" s="2" t="s">
        <v>899</v>
      </c>
      <c r="Y52" s="2" t="s">
        <v>900</v>
      </c>
      <c r="Z52" s="2" t="s">
        <v>252</v>
      </c>
    </row>
    <row r="53" spans="1:26" ht="48" customHeight="1" x14ac:dyDescent="0.2">
      <c r="A53" s="2" t="s">
        <v>901</v>
      </c>
      <c r="B53" s="2" t="s">
        <v>902</v>
      </c>
      <c r="C53" s="2" t="s">
        <v>399</v>
      </c>
      <c r="D53" s="2" t="s">
        <v>860</v>
      </c>
      <c r="E53" s="2" t="s">
        <v>675</v>
      </c>
      <c r="F53" s="7">
        <v>46204</v>
      </c>
      <c r="G53" s="2" t="s">
        <v>414</v>
      </c>
      <c r="H53" s="2" t="s">
        <v>122</v>
      </c>
      <c r="I53" s="2" t="s">
        <v>122</v>
      </c>
      <c r="J53" s="2" t="s">
        <v>876</v>
      </c>
      <c r="K53" s="2" t="s">
        <v>903</v>
      </c>
      <c r="L53" s="6" t="s">
        <v>904</v>
      </c>
      <c r="M53" s="2"/>
      <c r="N53" s="2"/>
      <c r="O53" s="2" t="s">
        <v>879</v>
      </c>
      <c r="P53" s="2" t="s">
        <v>905</v>
      </c>
      <c r="Q53" s="2"/>
      <c r="R53" s="2" t="s">
        <v>906</v>
      </c>
      <c r="S53" s="2" t="s">
        <v>907</v>
      </c>
      <c r="T53" s="2" t="s">
        <v>908</v>
      </c>
      <c r="U53" s="2" t="s">
        <v>909</v>
      </c>
      <c r="V53" s="2" t="s">
        <v>181</v>
      </c>
      <c r="W53" s="2" t="s">
        <v>885</v>
      </c>
      <c r="X53" s="2" t="s">
        <v>910</v>
      </c>
      <c r="Y53" s="2" t="s">
        <v>730</v>
      </c>
      <c r="Z53" s="2" t="s">
        <v>731</v>
      </c>
    </row>
    <row r="54" spans="1:26" ht="48" customHeight="1" x14ac:dyDescent="0.2">
      <c r="A54" s="2" t="s">
        <v>911</v>
      </c>
      <c r="B54" s="2" t="s">
        <v>912</v>
      </c>
      <c r="C54" s="2" t="s">
        <v>143</v>
      </c>
      <c r="D54" s="2" t="s">
        <v>913</v>
      </c>
      <c r="E54" s="2" t="s">
        <v>914</v>
      </c>
      <c r="F54" s="2" t="s">
        <v>915</v>
      </c>
      <c r="G54" s="7">
        <v>46076</v>
      </c>
      <c r="H54" s="2" t="s">
        <v>122</v>
      </c>
      <c r="I54" s="2" t="s">
        <v>122</v>
      </c>
      <c r="J54" s="2" t="s">
        <v>876</v>
      </c>
      <c r="K54" s="2" t="s">
        <v>916</v>
      </c>
      <c r="L54" s="6" t="s">
        <v>917</v>
      </c>
      <c r="M54" s="2"/>
      <c r="N54" s="2"/>
      <c r="O54" s="2" t="s">
        <v>918</v>
      </c>
      <c r="P54" s="2" t="s">
        <v>919</v>
      </c>
      <c r="Q54" s="2"/>
      <c r="R54" s="2" t="s">
        <v>920</v>
      </c>
      <c r="S54" s="2" t="s">
        <v>921</v>
      </c>
      <c r="T54" s="2" t="s">
        <v>922</v>
      </c>
      <c r="U54" s="2" t="s">
        <v>923</v>
      </c>
      <c r="V54" s="2" t="s">
        <v>181</v>
      </c>
      <c r="W54" s="2" t="s">
        <v>924</v>
      </c>
      <c r="X54" s="2" t="s">
        <v>925</v>
      </c>
      <c r="Y54" s="2" t="s">
        <v>926</v>
      </c>
      <c r="Z54" s="2" t="s">
        <v>252</v>
      </c>
    </row>
    <row r="55" spans="1:26" ht="62" customHeight="1" x14ac:dyDescent="0.2">
      <c r="A55" s="2" t="s">
        <v>927</v>
      </c>
      <c r="B55" s="2" t="s">
        <v>928</v>
      </c>
      <c r="C55" s="2" t="s">
        <v>399</v>
      </c>
      <c r="D55" s="2" t="s">
        <v>929</v>
      </c>
      <c r="E55" s="2" t="s">
        <v>930</v>
      </c>
      <c r="F55" s="7">
        <v>46227</v>
      </c>
      <c r="G55" s="2" t="s">
        <v>931</v>
      </c>
      <c r="H55" s="2" t="s">
        <v>167</v>
      </c>
      <c r="I55" s="2" t="s">
        <v>291</v>
      </c>
      <c r="J55" s="2" t="s">
        <v>932</v>
      </c>
      <c r="K55" s="2" t="s">
        <v>933</v>
      </c>
      <c r="L55" s="6" t="s">
        <v>934</v>
      </c>
      <c r="M55" s="2" t="s">
        <v>935</v>
      </c>
      <c r="N55" s="2" t="s">
        <v>936</v>
      </c>
      <c r="O55" s="2" t="s">
        <v>937</v>
      </c>
      <c r="P55" s="2" t="s">
        <v>938</v>
      </c>
      <c r="Q55" s="2" t="s">
        <v>939</v>
      </c>
      <c r="R55" s="2" t="s">
        <v>940</v>
      </c>
      <c r="S55" s="2" t="s">
        <v>941</v>
      </c>
      <c r="T55" s="2" t="s">
        <v>942</v>
      </c>
      <c r="U55" s="2" t="s">
        <v>943</v>
      </c>
      <c r="V55" s="2" t="s">
        <v>136</v>
      </c>
      <c r="W55" s="2" t="s">
        <v>944</v>
      </c>
      <c r="X55" s="2" t="s">
        <v>945</v>
      </c>
      <c r="Y55" s="2" t="s">
        <v>730</v>
      </c>
      <c r="Z55" s="2" t="s">
        <v>731</v>
      </c>
    </row>
    <row r="56" spans="1:26" ht="90" customHeight="1" x14ac:dyDescent="0.2">
      <c r="A56" s="2" t="s">
        <v>946</v>
      </c>
      <c r="B56" s="2" t="s">
        <v>947</v>
      </c>
      <c r="C56" s="2" t="s">
        <v>118</v>
      </c>
      <c r="D56" s="2" t="s">
        <v>948</v>
      </c>
      <c r="E56" s="2" t="s">
        <v>949</v>
      </c>
      <c r="F56" s="2" t="s">
        <v>950</v>
      </c>
      <c r="G56" s="2" t="s">
        <v>735</v>
      </c>
      <c r="H56" s="2" t="s">
        <v>627</v>
      </c>
      <c r="I56" s="2" t="s">
        <v>273</v>
      </c>
      <c r="J56" s="2"/>
      <c r="K56" s="2" t="s">
        <v>951</v>
      </c>
      <c r="L56" s="6" t="s">
        <v>952</v>
      </c>
      <c r="M56" s="2"/>
      <c r="N56" s="2"/>
      <c r="O56" s="2" t="s">
        <v>953</v>
      </c>
      <c r="P56" s="2" t="s">
        <v>954</v>
      </c>
      <c r="Q56" s="2"/>
      <c r="R56" s="2" t="s">
        <v>955</v>
      </c>
      <c r="S56" s="2" t="s">
        <v>956</v>
      </c>
      <c r="T56" s="2" t="s">
        <v>957</v>
      </c>
      <c r="U56" s="2" t="s">
        <v>958</v>
      </c>
      <c r="V56" s="2" t="s">
        <v>181</v>
      </c>
      <c r="W56" s="2" t="s">
        <v>959</v>
      </c>
      <c r="X56" s="2" t="s">
        <v>960</v>
      </c>
      <c r="Y56" s="2" t="s">
        <v>961</v>
      </c>
      <c r="Z56" s="2" t="s">
        <v>731</v>
      </c>
    </row>
  </sheetData>
  <mergeCells count="2">
    <mergeCell ref="A1:Z1"/>
    <mergeCell ref="A2:Z2"/>
  </mergeCells>
  <conditionalFormatting sqref="V5:V56">
    <cfRule type="expression" dxfId="9" priority="1">
      <formula>$V5="High"</formula>
    </cfRule>
    <cfRule type="expression" dxfId="8" priority="2">
      <formula>$V5="Medium"</formula>
    </cfRule>
    <cfRule type="expression" dxfId="7" priority="3">
      <formula>$V5="Low"</formula>
    </cfRule>
  </conditionalFormatting>
  <conditionalFormatting sqref="Z5:Z56">
    <cfRule type="expression" dxfId="6" priority="4">
      <formula>$Z5="IN_SPAN_DEVELOPMENT"</formula>
    </cfRule>
    <cfRule type="expression" dxfId="5" priority="5">
      <formula>$Z5="BASELINE_CARRY_IN"</formula>
    </cfRule>
    <cfRule type="expression" dxfId="4" priority="6">
      <formula>$Z5="CONTRADICTED_OR_UNRESOLVED"</formula>
    </cfRule>
  </conditionalFormatting>
  <dataValidations count="2">
    <dataValidation type="list" errorTitle="Invalid confidence value" error="Choose High, Medium, or Low." promptTitle="Confidence" prompt="Select the audited confidence class." sqref="V5:V56" xr:uid="{00000000-0002-0000-0100-000000000000}">
      <formula1>"High,Medium,Low"</formula1>
    </dataValidation>
    <dataValidation type="list" errorTitle="Invalid lifecycle value" error="Choose a lifecycle value from the approved taxonomy." promptTitle="Lifecycle" prompt="Select the auditable lifecycle stage." sqref="Z5:Z56" xr:uid="{00000000-0002-0000-0100-000001000000}">
      <formula1>"IN_SPAN_DEVELOPMENT,BASELINE_CARRY_IN,MONITORED_NO_CHANGE,CORRECTION,CONTRADICTED_OR_UNRESOLVED,FUTURE_WATCH,EXCLUDED_OUT_OF_SCOPE"</formula1>
    </dataValidation>
  </dataValidations>
  <hyperlinks>
    <hyperlink ref="L6" r:id="rId1" xr:uid="{00000000-0004-0000-0100-000000000000}"/>
    <hyperlink ref="L11" r:id="rId2" xr:uid="{00000000-0004-0000-0100-000001000000}"/>
    <hyperlink ref="N11" r:id="rId3" xr:uid="{00000000-0004-0000-0100-000002000000}"/>
    <hyperlink ref="L12" r:id="rId4" xr:uid="{00000000-0004-0000-0100-000003000000}"/>
    <hyperlink ref="N14" r:id="rId5" xr:uid="{00000000-0004-0000-0100-000004000000}"/>
    <hyperlink ref="L16" r:id="rId6" xr:uid="{00000000-0004-0000-0100-000005000000}"/>
    <hyperlink ref="L21" r:id="rId7" xr:uid="{00000000-0004-0000-0100-000006000000}"/>
    <hyperlink ref="L22" r:id="rId8" xr:uid="{00000000-0004-0000-0100-000007000000}"/>
    <hyperlink ref="L23" r:id="rId9" xr:uid="{00000000-0004-0000-0100-000008000000}"/>
    <hyperlink ref="L25" r:id="rId10" xr:uid="{00000000-0004-0000-0100-000009000000}"/>
    <hyperlink ref="L26" r:id="rId11" xr:uid="{00000000-0004-0000-0100-00000A000000}"/>
    <hyperlink ref="L27" r:id="rId12" xr:uid="{00000000-0004-0000-0100-00000B000000}"/>
    <hyperlink ref="L29" r:id="rId13" xr:uid="{00000000-0004-0000-0100-00000C000000}"/>
    <hyperlink ref="L30" r:id="rId14" xr:uid="{00000000-0004-0000-0100-00000D000000}"/>
    <hyperlink ref="N30" r:id="rId15" xr:uid="{00000000-0004-0000-0100-00000E000000}"/>
    <hyperlink ref="L31" r:id="rId16" xr:uid="{00000000-0004-0000-0100-00000F000000}"/>
    <hyperlink ref="N31" r:id="rId17" xr:uid="{00000000-0004-0000-0100-000010000000}"/>
    <hyperlink ref="L33" r:id="rId18" xr:uid="{00000000-0004-0000-0100-000011000000}"/>
    <hyperlink ref="N33" r:id="rId19" xr:uid="{00000000-0004-0000-0100-000012000000}"/>
    <hyperlink ref="L34" r:id="rId20" xr:uid="{00000000-0004-0000-0100-000013000000}"/>
    <hyperlink ref="L35" r:id="rId21" xr:uid="{00000000-0004-0000-0100-000014000000}"/>
    <hyperlink ref="L36" r:id="rId22" xr:uid="{00000000-0004-0000-0100-000015000000}"/>
    <hyperlink ref="L37" r:id="rId23" xr:uid="{00000000-0004-0000-0100-000016000000}"/>
    <hyperlink ref="N37" r:id="rId24" xr:uid="{00000000-0004-0000-0100-000017000000}"/>
    <hyperlink ref="L38" r:id="rId25" xr:uid="{00000000-0004-0000-0100-000018000000}"/>
    <hyperlink ref="N41" r:id="rId26" xr:uid="{00000000-0004-0000-0100-000019000000}"/>
    <hyperlink ref="L42" r:id="rId27" xr:uid="{00000000-0004-0000-0100-00001A000000}"/>
    <hyperlink ref="N45" r:id="rId28" xr:uid="{00000000-0004-0000-0100-00001B000000}"/>
    <hyperlink ref="L46" r:id="rId29" xr:uid="{00000000-0004-0000-0100-00001C000000}"/>
    <hyperlink ref="L48" r:id="rId30" xr:uid="{00000000-0004-0000-0100-00001D000000}"/>
    <hyperlink ref="L49" r:id="rId31" xr:uid="{00000000-0004-0000-0100-00001E000000}"/>
    <hyperlink ref="L50" r:id="rId32" xr:uid="{00000000-0004-0000-0100-00001F000000}"/>
    <hyperlink ref="L51" r:id="rId33" xr:uid="{00000000-0004-0000-0100-000020000000}"/>
    <hyperlink ref="L52" r:id="rId34" xr:uid="{00000000-0004-0000-0100-000021000000}"/>
    <hyperlink ref="L53" r:id="rId35" xr:uid="{00000000-0004-0000-0100-000022000000}"/>
    <hyperlink ref="L54" r:id="rId36" xr:uid="{00000000-0004-0000-0100-000023000000}"/>
    <hyperlink ref="L55" r:id="rId37" xr:uid="{00000000-0004-0000-0100-000024000000}"/>
    <hyperlink ref="L56" r:id="rId38" xr:uid="{00000000-0004-0000-0100-000025000000}"/>
  </hyperlinks>
  <pageMargins left="0.25" right="0.25" top="0.45" bottom="0.45" header="0.2" footer="0.2"/>
  <pageSetup fitToHeight="0" orientation="landscape"/>
  <headerFooter>
    <oddFooter>&amp;C&amp;8 &amp;K5E6C75Pakistan AI Policy Monitor | &amp;P of &amp;N</oddFooter>
  </headerFooter>
  <legacyDrawing r:id="rId39"/>
  <tableParts count="1">
    <tablePart r:id="rId40"/>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9952E"/>
    <pageSetUpPr fitToPage="1"/>
  </sheetPr>
  <dimension ref="A1:H41"/>
  <sheetViews>
    <sheetView showGridLines="0" zoomScale="90" zoomScaleNormal="90" workbookViewId="0">
      <pane xSplit="2" ySplit="28" topLeftCell="C29"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2" customWidth="1"/>
    <col min="3" max="3" width="23" customWidth="1"/>
    <col min="4" max="4" width="50" customWidth="1"/>
    <col min="5" max="5" width="16" customWidth="1"/>
    <col min="6" max="6" width="14" customWidth="1"/>
    <col min="7" max="7" width="24" customWidth="1"/>
    <col min="8" max="8" width="15" customWidth="1"/>
  </cols>
  <sheetData>
    <row r="1" spans="1:8" ht="33" customHeight="1" x14ac:dyDescent="0.2">
      <c r="A1" s="28" t="s">
        <v>78</v>
      </c>
      <c r="B1" s="24"/>
      <c r="C1" s="24"/>
      <c r="D1" s="24"/>
      <c r="E1" s="24"/>
      <c r="F1" s="24"/>
      <c r="G1" s="24"/>
      <c r="H1" s="24"/>
    </row>
    <row r="2" spans="1:8" ht="30" customHeight="1" x14ac:dyDescent="0.2">
      <c r="A2" s="25" t="s">
        <v>962</v>
      </c>
      <c r="B2" s="24"/>
      <c r="C2" s="24"/>
      <c r="D2" s="24"/>
      <c r="E2" s="24"/>
      <c r="F2" s="24"/>
      <c r="G2" s="24"/>
      <c r="H2" s="24"/>
    </row>
    <row r="4" spans="1:8" ht="22" customHeight="1" x14ac:dyDescent="0.2">
      <c r="A4" s="29" t="s">
        <v>963</v>
      </c>
      <c r="B4" s="24"/>
      <c r="C4" s="24"/>
      <c r="D4" s="24"/>
    </row>
    <row r="5" spans="1:8" x14ac:dyDescent="0.2">
      <c r="A5" s="1" t="s">
        <v>13</v>
      </c>
      <c r="B5" s="1" t="s">
        <v>964</v>
      </c>
      <c r="C5" s="1" t="s">
        <v>10</v>
      </c>
      <c r="D5" s="1" t="s">
        <v>965</v>
      </c>
    </row>
    <row r="6" spans="1:8" ht="29" customHeight="1" x14ac:dyDescent="0.2">
      <c r="A6" s="2" t="s">
        <v>966</v>
      </c>
      <c r="B6" s="9">
        <v>1440</v>
      </c>
      <c r="C6" s="2" t="s">
        <v>967</v>
      </c>
      <c r="D6" s="2" t="s">
        <v>968</v>
      </c>
    </row>
    <row r="7" spans="1:8" ht="29" customHeight="1" x14ac:dyDescent="0.2">
      <c r="A7" s="2" t="s">
        <v>20</v>
      </c>
      <c r="B7" s="10">
        <f>COUNTA('Briefing Units'!$A$5:$A$18)</f>
        <v>14</v>
      </c>
      <c r="C7" s="2" t="s">
        <v>36</v>
      </c>
      <c r="D7" s="2" t="s">
        <v>969</v>
      </c>
    </row>
    <row r="8" spans="1:8" ht="29" customHeight="1" x14ac:dyDescent="0.2">
      <c r="A8" s="2" t="s">
        <v>23</v>
      </c>
      <c r="B8" s="10">
        <f>B6-B7</f>
        <v>1426</v>
      </c>
      <c r="C8" s="2" t="s">
        <v>967</v>
      </c>
      <c r="D8" s="2" t="s">
        <v>970</v>
      </c>
    </row>
    <row r="9" spans="1:8" ht="29" customHeight="1" x14ac:dyDescent="0.2">
      <c r="A9" s="2" t="s">
        <v>971</v>
      </c>
      <c r="B9" s="5">
        <f>IF(B6=0,0,B7/B6)</f>
        <v>9.7222222222222224E-3</v>
      </c>
      <c r="C9" s="2" t="s">
        <v>972</v>
      </c>
      <c r="D9" s="2" t="s">
        <v>973</v>
      </c>
    </row>
    <row r="10" spans="1:8" ht="29" customHeight="1" x14ac:dyDescent="0.2">
      <c r="A10" s="2" t="s">
        <v>974</v>
      </c>
      <c r="B10" s="9">
        <v>22017</v>
      </c>
      <c r="C10" s="2" t="s">
        <v>975</v>
      </c>
      <c r="D10" s="2" t="s">
        <v>976</v>
      </c>
    </row>
    <row r="11" spans="1:8" ht="29" customHeight="1" x14ac:dyDescent="0.2">
      <c r="A11" s="2" t="s">
        <v>977</v>
      </c>
      <c r="B11" s="11">
        <v>215.82</v>
      </c>
      <c r="C11" s="2" t="s">
        <v>975</v>
      </c>
      <c r="D11" s="2" t="s">
        <v>978</v>
      </c>
    </row>
    <row r="12" spans="1:8" ht="29" customHeight="1" x14ac:dyDescent="0.2">
      <c r="A12" s="2" t="s">
        <v>979</v>
      </c>
      <c r="B12" s="5">
        <f>IF(B10=0,0,B11/B10)</f>
        <v>9.8024253985556607E-3</v>
      </c>
      <c r="C12" s="2" t="s">
        <v>972</v>
      </c>
      <c r="D12" s="2" t="s">
        <v>980</v>
      </c>
    </row>
    <row r="13" spans="1:8" ht="29" customHeight="1" x14ac:dyDescent="0.2">
      <c r="A13" s="2" t="s">
        <v>981</v>
      </c>
      <c r="B13" s="9">
        <v>1468</v>
      </c>
      <c r="C13" s="2" t="s">
        <v>967</v>
      </c>
      <c r="D13" s="2" t="s">
        <v>982</v>
      </c>
    </row>
    <row r="14" spans="1:8" ht="29" customHeight="1" x14ac:dyDescent="0.2">
      <c r="A14" s="2" t="s">
        <v>983</v>
      </c>
      <c r="B14" s="10">
        <f>B13-B7</f>
        <v>1454</v>
      </c>
      <c r="C14" s="2" t="s">
        <v>967</v>
      </c>
      <c r="D14" s="2" t="s">
        <v>984</v>
      </c>
    </row>
    <row r="15" spans="1:8" ht="29" customHeight="1" x14ac:dyDescent="0.2">
      <c r="A15" s="2" t="s">
        <v>985</v>
      </c>
      <c r="B15" s="5">
        <f>IF(B13=0,0,B7/B13)</f>
        <v>9.5367847411444145E-3</v>
      </c>
      <c r="C15" s="2" t="s">
        <v>972</v>
      </c>
      <c r="D15" s="2" t="s">
        <v>973</v>
      </c>
    </row>
    <row r="17" spans="1:8" ht="22" customHeight="1" x14ac:dyDescent="0.2">
      <c r="A17" s="26" t="s">
        <v>986</v>
      </c>
      <c r="B17" s="24"/>
      <c r="C17" s="24"/>
      <c r="D17" s="24"/>
      <c r="E17" s="24"/>
      <c r="F17" s="24"/>
      <c r="G17" s="24"/>
      <c r="H17" s="24"/>
    </row>
    <row r="18" spans="1:8" x14ac:dyDescent="0.2">
      <c r="A18" s="1" t="s">
        <v>987</v>
      </c>
      <c r="B18" s="1" t="s">
        <v>964</v>
      </c>
      <c r="C18" s="1" t="s">
        <v>14</v>
      </c>
    </row>
    <row r="19" spans="1:8" ht="36" customHeight="1" x14ac:dyDescent="0.2">
      <c r="A19" s="2" t="s">
        <v>988</v>
      </c>
      <c r="B19" s="12">
        <v>46252.808333333327</v>
      </c>
      <c r="C19" s="2" t="s">
        <v>989</v>
      </c>
    </row>
    <row r="20" spans="1:8" ht="36" customHeight="1" x14ac:dyDescent="0.2">
      <c r="A20" s="2" t="s">
        <v>990</v>
      </c>
      <c r="B20" s="12">
        <v>46268.097916666673</v>
      </c>
      <c r="C20" s="2" t="s">
        <v>991</v>
      </c>
    </row>
    <row r="21" spans="1:8" ht="36" customHeight="1" x14ac:dyDescent="0.2">
      <c r="A21" s="2" t="s">
        <v>32</v>
      </c>
      <c r="B21" s="12">
        <v>46268.177083333343</v>
      </c>
      <c r="C21" s="2" t="s">
        <v>992</v>
      </c>
    </row>
    <row r="22" spans="1:8" ht="36" customHeight="1" x14ac:dyDescent="0.2">
      <c r="A22" s="2" t="s">
        <v>993</v>
      </c>
      <c r="B22" s="2" t="s">
        <v>994</v>
      </c>
      <c r="C22" s="2" t="s">
        <v>995</v>
      </c>
    </row>
    <row r="23" spans="1:8" ht="58" customHeight="1" x14ac:dyDescent="0.2">
      <c r="A23" s="2" t="s">
        <v>996</v>
      </c>
      <c r="B23" s="2" t="s">
        <v>997</v>
      </c>
      <c r="C23" s="2" t="s">
        <v>998</v>
      </c>
    </row>
    <row r="24" spans="1:8" ht="36" customHeight="1" x14ac:dyDescent="0.2">
      <c r="A24" s="2" t="s">
        <v>999</v>
      </c>
      <c r="B24" s="2" t="s">
        <v>1000</v>
      </c>
      <c r="C24" s="2" t="s">
        <v>1001</v>
      </c>
    </row>
    <row r="25" spans="1:8" ht="36" customHeight="1" x14ac:dyDescent="0.2">
      <c r="A25" s="2" t="s">
        <v>1002</v>
      </c>
      <c r="B25" s="2" t="s">
        <v>1003</v>
      </c>
      <c r="C25" s="2" t="s">
        <v>1004</v>
      </c>
    </row>
    <row r="27" spans="1:8" ht="22" customHeight="1" x14ac:dyDescent="0.2">
      <c r="A27" s="29" t="s">
        <v>1005</v>
      </c>
      <c r="B27" s="24"/>
      <c r="C27" s="24"/>
      <c r="D27" s="24"/>
      <c r="E27" s="24"/>
      <c r="F27" s="24"/>
      <c r="G27" s="24"/>
      <c r="H27" s="24"/>
    </row>
    <row r="28" spans="1:8" ht="38" customHeight="1" x14ac:dyDescent="0.2">
      <c r="A28" s="1" t="s">
        <v>1006</v>
      </c>
      <c r="B28" s="1" t="s">
        <v>1007</v>
      </c>
      <c r="C28" s="1" t="s">
        <v>1008</v>
      </c>
      <c r="D28" s="1" t="s">
        <v>1009</v>
      </c>
      <c r="E28" s="1" t="s">
        <v>1010</v>
      </c>
      <c r="F28" s="1" t="s">
        <v>1011</v>
      </c>
      <c r="G28" s="1" t="s">
        <v>1012</v>
      </c>
      <c r="H28" s="1" t="s">
        <v>1013</v>
      </c>
    </row>
    <row r="29" spans="1:8" ht="26" customHeight="1" x14ac:dyDescent="0.2">
      <c r="A29" s="2" t="s">
        <v>876</v>
      </c>
      <c r="B29" s="2" t="s">
        <v>356</v>
      </c>
      <c r="C29" s="12">
        <v>46252.818055555559</v>
      </c>
      <c r="D29" s="12">
        <v>46254.608912037038</v>
      </c>
      <c r="E29" s="13">
        <v>2578.83</v>
      </c>
      <c r="F29" s="14">
        <v>42.98</v>
      </c>
      <c r="G29" s="15">
        <v>172</v>
      </c>
      <c r="H29" s="2" t="b">
        <v>1</v>
      </c>
    </row>
    <row r="30" spans="1:8" ht="26" customHeight="1" x14ac:dyDescent="0.2">
      <c r="A30" s="2" t="s">
        <v>356</v>
      </c>
      <c r="B30" s="2" t="s">
        <v>1014</v>
      </c>
      <c r="C30" s="12">
        <v>46254.618506944447</v>
      </c>
      <c r="D30" s="12">
        <v>46255.62222222222</v>
      </c>
      <c r="E30" s="13">
        <v>1445.35</v>
      </c>
      <c r="F30" s="14">
        <v>24.09</v>
      </c>
      <c r="G30" s="15">
        <v>96</v>
      </c>
      <c r="H30" s="2" t="b">
        <v>1</v>
      </c>
    </row>
    <row r="31" spans="1:8" ht="26" customHeight="1" x14ac:dyDescent="0.2">
      <c r="A31" s="2" t="s">
        <v>1014</v>
      </c>
      <c r="B31" s="2" t="s">
        <v>237</v>
      </c>
      <c r="C31" s="12">
        <v>46255.628472222219</v>
      </c>
      <c r="D31" s="12">
        <v>46256.619444444441</v>
      </c>
      <c r="E31" s="13">
        <v>1427</v>
      </c>
      <c r="F31" s="14">
        <v>23.78</v>
      </c>
      <c r="G31" s="15">
        <v>95</v>
      </c>
      <c r="H31" s="2" t="b">
        <v>1</v>
      </c>
    </row>
    <row r="32" spans="1:8" ht="26" customHeight="1" x14ac:dyDescent="0.2">
      <c r="A32" s="2" t="s">
        <v>237</v>
      </c>
      <c r="B32" s="2" t="s">
        <v>1015</v>
      </c>
      <c r="C32" s="12">
        <v>46256.628472222219</v>
      </c>
      <c r="D32" s="12">
        <v>46257.623611111107</v>
      </c>
      <c r="E32" s="13">
        <v>1433</v>
      </c>
      <c r="F32" s="14">
        <v>23.88</v>
      </c>
      <c r="G32" s="15">
        <v>96</v>
      </c>
      <c r="H32" s="2" t="b">
        <v>1</v>
      </c>
    </row>
    <row r="33" spans="1:8" ht="26" customHeight="1" x14ac:dyDescent="0.2">
      <c r="A33" s="2" t="s">
        <v>1015</v>
      </c>
      <c r="B33" s="2" t="s">
        <v>431</v>
      </c>
      <c r="C33" s="12">
        <v>46257.631944444453</v>
      </c>
      <c r="D33" s="12">
        <v>46258.798611111109</v>
      </c>
      <c r="E33" s="13">
        <v>1680</v>
      </c>
      <c r="F33" s="14">
        <v>28</v>
      </c>
      <c r="G33" s="15">
        <v>112</v>
      </c>
      <c r="H33" s="2" t="b">
        <v>1</v>
      </c>
    </row>
    <row r="34" spans="1:8" ht="26" customHeight="1" x14ac:dyDescent="0.2">
      <c r="A34" s="2" t="s">
        <v>431</v>
      </c>
      <c r="B34" s="2" t="s">
        <v>1016</v>
      </c>
      <c r="C34" s="12">
        <v>46258.809027777781</v>
      </c>
      <c r="D34" s="12">
        <v>46260.068055555559</v>
      </c>
      <c r="E34" s="13">
        <v>1813</v>
      </c>
      <c r="F34" s="14">
        <v>30.22</v>
      </c>
      <c r="G34" s="15">
        <v>121</v>
      </c>
      <c r="H34" s="2" t="b">
        <v>1</v>
      </c>
    </row>
    <row r="35" spans="1:8" ht="26" customHeight="1" x14ac:dyDescent="0.2">
      <c r="A35" s="2" t="s">
        <v>1016</v>
      </c>
      <c r="B35" s="2" t="s">
        <v>257</v>
      </c>
      <c r="C35" s="12">
        <v>46260.090277777781</v>
      </c>
      <c r="D35" s="12">
        <v>46261.577777777777</v>
      </c>
      <c r="E35" s="13">
        <v>2142</v>
      </c>
      <c r="F35" s="14">
        <v>35.700000000000003</v>
      </c>
      <c r="G35" s="15">
        <v>143</v>
      </c>
      <c r="H35" s="2" t="b">
        <v>1</v>
      </c>
    </row>
    <row r="36" spans="1:8" ht="26" customHeight="1" x14ac:dyDescent="0.2">
      <c r="A36" s="2" t="s">
        <v>257</v>
      </c>
      <c r="B36" s="2" t="s">
        <v>447</v>
      </c>
      <c r="C36" s="12">
        <v>46261.587500000001</v>
      </c>
      <c r="D36" s="12">
        <v>46262.609027777777</v>
      </c>
      <c r="E36" s="13">
        <v>1471</v>
      </c>
      <c r="F36" s="14">
        <v>24.52</v>
      </c>
      <c r="G36" s="15">
        <v>98</v>
      </c>
      <c r="H36" s="2" t="b">
        <v>1</v>
      </c>
    </row>
    <row r="37" spans="1:8" ht="26" customHeight="1" x14ac:dyDescent="0.2">
      <c r="A37" s="2" t="s">
        <v>447</v>
      </c>
      <c r="B37" s="2" t="s">
        <v>462</v>
      </c>
      <c r="C37" s="12">
        <v>46262.619444444441</v>
      </c>
      <c r="D37" s="12">
        <v>46263.6</v>
      </c>
      <c r="E37" s="13">
        <v>1412</v>
      </c>
      <c r="F37" s="14">
        <v>23.53</v>
      </c>
      <c r="G37" s="15">
        <v>94</v>
      </c>
      <c r="H37" s="2" t="b">
        <v>1</v>
      </c>
    </row>
    <row r="38" spans="1:8" ht="26" customHeight="1" x14ac:dyDescent="0.2">
      <c r="A38" s="2" t="s">
        <v>462</v>
      </c>
      <c r="B38" s="2" t="s">
        <v>1017</v>
      </c>
      <c r="C38" s="12">
        <v>46263.609722222223</v>
      </c>
      <c r="D38" s="12">
        <v>46264.609722222223</v>
      </c>
      <c r="E38" s="13">
        <v>1440</v>
      </c>
      <c r="F38" s="14">
        <v>24</v>
      </c>
      <c r="G38" s="15">
        <v>96</v>
      </c>
      <c r="H38" s="2" t="b">
        <v>1</v>
      </c>
    </row>
    <row r="39" spans="1:8" ht="26" customHeight="1" x14ac:dyDescent="0.2">
      <c r="A39" s="2" t="s">
        <v>1017</v>
      </c>
      <c r="B39" s="2" t="s">
        <v>1018</v>
      </c>
      <c r="C39" s="12">
        <v>46264.622916666667</v>
      </c>
      <c r="D39" s="12">
        <v>46265.60833333333</v>
      </c>
      <c r="E39" s="13">
        <v>1419</v>
      </c>
      <c r="F39" s="14">
        <v>23.65</v>
      </c>
      <c r="G39" s="15">
        <v>95</v>
      </c>
      <c r="H39" s="2" t="b">
        <v>1</v>
      </c>
    </row>
    <row r="40" spans="1:8" ht="26" customHeight="1" x14ac:dyDescent="0.2">
      <c r="A40" s="2" t="s">
        <v>1018</v>
      </c>
      <c r="B40" s="2" t="s">
        <v>292</v>
      </c>
      <c r="C40" s="12">
        <v>46265.621527777781</v>
      </c>
      <c r="D40" s="12">
        <v>46266.694444444453</v>
      </c>
      <c r="E40" s="13">
        <v>1545</v>
      </c>
      <c r="F40" s="14">
        <v>25.75</v>
      </c>
      <c r="G40" s="15">
        <v>103</v>
      </c>
      <c r="H40" s="2" t="b">
        <v>1</v>
      </c>
    </row>
    <row r="41" spans="1:8" ht="26" customHeight="1" x14ac:dyDescent="0.2">
      <c r="A41" s="2" t="s">
        <v>292</v>
      </c>
      <c r="B41" s="2" t="s">
        <v>676</v>
      </c>
      <c r="C41" s="12">
        <v>46266.70208333333</v>
      </c>
      <c r="D41" s="12">
        <v>46268.087500000001</v>
      </c>
      <c r="E41" s="13">
        <v>1995</v>
      </c>
      <c r="F41" s="14">
        <v>33.25</v>
      </c>
      <c r="G41" s="15">
        <v>133</v>
      </c>
      <c r="H41" s="2" t="b">
        <v>1</v>
      </c>
    </row>
  </sheetData>
  <mergeCells count="5">
    <mergeCell ref="A4:D4"/>
    <mergeCell ref="A2:H2"/>
    <mergeCell ref="A1:H1"/>
    <mergeCell ref="A27:H27"/>
    <mergeCell ref="A17:H17"/>
  </mergeCells>
  <conditionalFormatting sqref="G29:G41">
    <cfRule type="colorScale" priority="1">
      <colorScale>
        <cfvo type="min"/>
        <cfvo type="percentile" val="50"/>
        <cfvo type="max"/>
        <color rgb="FFF8EDCF"/>
        <color rgb="FFE7B65A"/>
        <color rgb="FFC45A4A"/>
      </colorScale>
    </cfRule>
  </conditionalFormatting>
  <conditionalFormatting sqref="H29:H41">
    <cfRule type="expression" dxfId="3" priority="2">
      <formula>H29=TRUE</formula>
    </cfRule>
  </conditionalFormatting>
  <pageMargins left="0.25" right="0.25" top="0.45" bottom="0.45" header="0.2" footer="0.2"/>
  <pageSetup fitToHeight="0" orientation="landscape"/>
  <headerFooter>
    <oddFooter>&amp;C&amp;8 &amp;K5E6C75Pakistan AI Policy Monitor | &amp;P of &amp;N</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35D5A"/>
    <pageSetUpPr fitToPage="1"/>
  </sheetPr>
  <dimension ref="A1:E17"/>
  <sheetViews>
    <sheetView showGridLines="0" zoomScale="90" zoomScaleNormal="90"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12" customWidth="1"/>
    <col min="2" max="2" width="38" customWidth="1"/>
    <col min="3" max="3" width="28" customWidth="1"/>
    <col min="4" max="4" width="60" customWidth="1"/>
    <col min="5" max="5" width="38" customWidth="1"/>
  </cols>
  <sheetData>
    <row r="1" spans="1:5" ht="33" customHeight="1" x14ac:dyDescent="0.2">
      <c r="A1" s="28" t="s">
        <v>37</v>
      </c>
      <c r="B1" s="24"/>
      <c r="C1" s="24"/>
      <c r="D1" s="24"/>
      <c r="E1" s="24"/>
    </row>
    <row r="2" spans="1:5" ht="30" customHeight="1" x14ac:dyDescent="0.2">
      <c r="A2" s="25" t="s">
        <v>1019</v>
      </c>
      <c r="B2" s="24"/>
      <c r="C2" s="24"/>
      <c r="D2" s="24"/>
      <c r="E2" s="24"/>
    </row>
    <row r="4" spans="1:5" ht="42" customHeight="1" x14ac:dyDescent="0.2">
      <c r="A4" s="1" t="s">
        <v>1020</v>
      </c>
      <c r="B4" s="1" t="s">
        <v>1021</v>
      </c>
      <c r="C4" s="1" t="s">
        <v>1022</v>
      </c>
      <c r="D4" s="1" t="s">
        <v>1023</v>
      </c>
      <c r="E4" s="1" t="s">
        <v>1024</v>
      </c>
    </row>
    <row r="5" spans="1:5" ht="48" customHeight="1" x14ac:dyDescent="0.2">
      <c r="A5" s="2" t="s">
        <v>1025</v>
      </c>
      <c r="B5" s="2" t="s">
        <v>1026</v>
      </c>
      <c r="C5" s="2" t="s">
        <v>1027</v>
      </c>
      <c r="D5" s="2" t="s">
        <v>1028</v>
      </c>
      <c r="E5" s="2" t="s">
        <v>1029</v>
      </c>
    </row>
    <row r="6" spans="1:5" ht="34" customHeight="1" x14ac:dyDescent="0.2">
      <c r="A6" s="2" t="s">
        <v>1030</v>
      </c>
      <c r="B6" s="2" t="s">
        <v>1031</v>
      </c>
      <c r="C6" s="2" t="s">
        <v>1032</v>
      </c>
      <c r="D6" s="2" t="s">
        <v>1033</v>
      </c>
      <c r="E6" s="2" t="s">
        <v>1034</v>
      </c>
    </row>
    <row r="7" spans="1:5" ht="34" customHeight="1" x14ac:dyDescent="0.2">
      <c r="A7" s="2" t="s">
        <v>1035</v>
      </c>
      <c r="B7" s="2" t="s">
        <v>1036</v>
      </c>
      <c r="C7" s="2" t="s">
        <v>1037</v>
      </c>
      <c r="D7" s="2" t="s">
        <v>1038</v>
      </c>
      <c r="E7" s="2" t="s">
        <v>1039</v>
      </c>
    </row>
    <row r="8" spans="1:5" ht="48" customHeight="1" x14ac:dyDescent="0.2">
      <c r="A8" s="2" t="s">
        <v>1040</v>
      </c>
      <c r="B8" s="2" t="s">
        <v>1041</v>
      </c>
      <c r="C8" s="2" t="s">
        <v>1042</v>
      </c>
      <c r="D8" s="2" t="s">
        <v>1043</v>
      </c>
      <c r="E8" s="2" t="s">
        <v>1044</v>
      </c>
    </row>
    <row r="9" spans="1:5" ht="34" customHeight="1" x14ac:dyDescent="0.2">
      <c r="A9" s="2" t="s">
        <v>1045</v>
      </c>
      <c r="B9" s="2" t="s">
        <v>1046</v>
      </c>
      <c r="C9" s="2" t="s">
        <v>1047</v>
      </c>
      <c r="D9" s="2" t="s">
        <v>1048</v>
      </c>
      <c r="E9" s="2" t="s">
        <v>1044</v>
      </c>
    </row>
    <row r="10" spans="1:5" ht="24" customHeight="1" x14ac:dyDescent="0.2">
      <c r="A10" s="2" t="s">
        <v>1049</v>
      </c>
      <c r="B10" s="2" t="s">
        <v>1050</v>
      </c>
      <c r="C10" s="2" t="s">
        <v>1051</v>
      </c>
      <c r="D10" s="2" t="s">
        <v>1052</v>
      </c>
      <c r="E10" s="2" t="s">
        <v>1044</v>
      </c>
    </row>
    <row r="11" spans="1:5" ht="34" customHeight="1" x14ac:dyDescent="0.2">
      <c r="A11" s="2" t="s">
        <v>1053</v>
      </c>
      <c r="B11" s="2" t="s">
        <v>1054</v>
      </c>
      <c r="C11" s="2" t="s">
        <v>1055</v>
      </c>
      <c r="D11" s="2" t="s">
        <v>1056</v>
      </c>
      <c r="E11" s="2" t="s">
        <v>1057</v>
      </c>
    </row>
    <row r="12" spans="1:5" ht="34" customHeight="1" x14ac:dyDescent="0.2">
      <c r="A12" s="2" t="s">
        <v>1058</v>
      </c>
      <c r="B12" s="2" t="s">
        <v>1059</v>
      </c>
      <c r="C12" s="2" t="s">
        <v>1060</v>
      </c>
      <c r="D12" s="2" t="s">
        <v>1061</v>
      </c>
      <c r="E12" s="2" t="s">
        <v>1062</v>
      </c>
    </row>
    <row r="13" spans="1:5" ht="34" customHeight="1" x14ac:dyDescent="0.2">
      <c r="A13" s="2" t="s">
        <v>1063</v>
      </c>
      <c r="B13" s="2" t="s">
        <v>1064</v>
      </c>
      <c r="C13" s="2" t="s">
        <v>1065</v>
      </c>
      <c r="D13" s="2" t="s">
        <v>1066</v>
      </c>
      <c r="E13" s="2" t="s">
        <v>1067</v>
      </c>
    </row>
    <row r="14" spans="1:5" ht="34" customHeight="1" x14ac:dyDescent="0.2">
      <c r="A14" s="2" t="s">
        <v>1068</v>
      </c>
      <c r="B14" s="2" t="s">
        <v>1069</v>
      </c>
      <c r="C14" s="2" t="s">
        <v>1070</v>
      </c>
      <c r="D14" s="2" t="s">
        <v>1071</v>
      </c>
      <c r="E14" s="2" t="s">
        <v>1072</v>
      </c>
    </row>
    <row r="15" spans="1:5" ht="34" customHeight="1" x14ac:dyDescent="0.2">
      <c r="A15" s="2" t="s">
        <v>1073</v>
      </c>
      <c r="B15" s="2" t="s">
        <v>1074</v>
      </c>
      <c r="C15" s="2" t="s">
        <v>1075</v>
      </c>
      <c r="D15" s="2" t="s">
        <v>1076</v>
      </c>
      <c r="E15" s="2" t="s">
        <v>1077</v>
      </c>
    </row>
    <row r="16" spans="1:5" ht="34" customHeight="1" x14ac:dyDescent="0.2">
      <c r="A16" s="2" t="s">
        <v>1078</v>
      </c>
      <c r="B16" s="2" t="s">
        <v>1079</v>
      </c>
      <c r="C16" s="2" t="s">
        <v>1080</v>
      </c>
      <c r="D16" s="2" t="s">
        <v>1081</v>
      </c>
      <c r="E16" s="2" t="s">
        <v>1082</v>
      </c>
    </row>
    <row r="17" spans="1:5" ht="34" customHeight="1" x14ac:dyDescent="0.2">
      <c r="A17" s="2" t="s">
        <v>1083</v>
      </c>
      <c r="B17" s="2" t="s">
        <v>1084</v>
      </c>
      <c r="C17" s="2" t="s">
        <v>1085</v>
      </c>
      <c r="D17" s="2" t="s">
        <v>1086</v>
      </c>
      <c r="E17" s="2" t="s">
        <v>1087</v>
      </c>
    </row>
  </sheetData>
  <mergeCells count="2">
    <mergeCell ref="A2:E2"/>
    <mergeCell ref="A1:E1"/>
  </mergeCells>
  <pageMargins left="0.25" right="0.25" top="0.45" bottom="0.45" header="0.2" footer="0.2"/>
  <pageSetup fitToHeight="0" orientation="landscape"/>
  <headerFooter>
    <oddFooter>&amp;C&amp;8 &amp;K5E6C75Pakistan AI Policy Monitor |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F6B6D"/>
    <pageSetUpPr fitToPage="1"/>
  </sheetPr>
  <dimension ref="A1:K18"/>
  <sheetViews>
    <sheetView showGridLines="0" zoomScale="90" zoomScaleNormal="90"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12" customWidth="1"/>
    <col min="2" max="2" width="48" customWidth="1"/>
    <col min="3" max="3" width="16" customWidth="1"/>
    <col min="4" max="4" width="14" customWidth="1"/>
    <col min="5" max="8" width="22" customWidth="1"/>
    <col min="9" max="9" width="42" customWidth="1"/>
    <col min="10" max="10" width="54" customWidth="1"/>
    <col min="11" max="11" width="36" customWidth="1"/>
  </cols>
  <sheetData>
    <row r="1" spans="1:11" ht="33" customHeight="1" x14ac:dyDescent="0.2">
      <c r="A1" s="28" t="s">
        <v>81</v>
      </c>
      <c r="B1" s="24"/>
      <c r="C1" s="24"/>
      <c r="D1" s="24"/>
      <c r="E1" s="24"/>
      <c r="F1" s="24"/>
      <c r="G1" s="24"/>
      <c r="H1" s="24"/>
      <c r="I1" s="24"/>
      <c r="J1" s="24"/>
      <c r="K1" s="24"/>
    </row>
    <row r="2" spans="1:11" ht="30" customHeight="1" x14ac:dyDescent="0.2">
      <c r="A2" s="25" t="s">
        <v>1088</v>
      </c>
      <c r="B2" s="24"/>
      <c r="C2" s="24"/>
      <c r="D2" s="24"/>
      <c r="E2" s="24"/>
      <c r="F2" s="24"/>
      <c r="G2" s="24"/>
      <c r="H2" s="24"/>
      <c r="I2" s="24"/>
      <c r="J2" s="24"/>
      <c r="K2" s="24"/>
    </row>
    <row r="4" spans="1:11" ht="42" customHeight="1" x14ac:dyDescent="0.2">
      <c r="A4" s="1" t="s">
        <v>1089</v>
      </c>
      <c r="B4" s="1" t="s">
        <v>1090</v>
      </c>
      <c r="C4" s="1" t="s">
        <v>1091</v>
      </c>
      <c r="D4" s="1" t="s">
        <v>1092</v>
      </c>
      <c r="E4" s="1" t="s">
        <v>1093</v>
      </c>
      <c r="F4" s="1" t="s">
        <v>1094</v>
      </c>
      <c r="G4" s="1" t="s">
        <v>1095</v>
      </c>
      <c r="H4" s="1" t="s">
        <v>1096</v>
      </c>
      <c r="I4" s="1" t="s">
        <v>1097</v>
      </c>
      <c r="J4" s="1" t="s">
        <v>1098</v>
      </c>
      <c r="K4" s="1" t="s">
        <v>1099</v>
      </c>
    </row>
    <row r="5" spans="1:11" ht="34" customHeight="1" x14ac:dyDescent="0.2">
      <c r="A5" s="2" t="s">
        <v>876</v>
      </c>
      <c r="B5" s="2" t="s">
        <v>1100</v>
      </c>
      <c r="C5" s="2" t="s">
        <v>1101</v>
      </c>
      <c r="D5" s="7">
        <v>46252</v>
      </c>
      <c r="E5" s="12">
        <v>46252.808333333327</v>
      </c>
      <c r="F5" s="12">
        <v>46252.818055555559</v>
      </c>
      <c r="G5" s="16">
        <v>46253.01666666667</v>
      </c>
      <c r="H5" s="16">
        <v>46253.026388888888</v>
      </c>
      <c r="I5" s="2" t="s">
        <v>1102</v>
      </c>
      <c r="J5" s="2" t="s">
        <v>1103</v>
      </c>
      <c r="K5" s="2" t="s">
        <v>1104</v>
      </c>
    </row>
    <row r="6" spans="1:11" ht="34" customHeight="1" x14ac:dyDescent="0.2">
      <c r="A6" s="2" t="s">
        <v>356</v>
      </c>
      <c r="B6" s="2" t="s">
        <v>1100</v>
      </c>
      <c r="C6" s="2" t="s">
        <v>1105</v>
      </c>
      <c r="D6" s="7">
        <v>46254</v>
      </c>
      <c r="E6" s="12">
        <v>46254.608912037038</v>
      </c>
      <c r="F6" s="12">
        <v>46254.618506944447</v>
      </c>
      <c r="G6" s="16">
        <v>46254.817245370366</v>
      </c>
      <c r="H6" s="16">
        <v>46254.826840277783</v>
      </c>
      <c r="I6" s="2" t="s">
        <v>1106</v>
      </c>
      <c r="J6" s="2" t="s">
        <v>1107</v>
      </c>
      <c r="K6" s="2" t="s">
        <v>1104</v>
      </c>
    </row>
    <row r="7" spans="1:11" ht="34" customHeight="1" x14ac:dyDescent="0.2">
      <c r="A7" s="2" t="s">
        <v>1014</v>
      </c>
      <c r="B7" s="2" t="s">
        <v>1100</v>
      </c>
      <c r="C7" s="2" t="s">
        <v>1108</v>
      </c>
      <c r="D7" s="7">
        <v>46255</v>
      </c>
      <c r="E7" s="12">
        <v>46255.62222222222</v>
      </c>
      <c r="F7" s="12">
        <v>46255.628472222219</v>
      </c>
      <c r="G7" s="16">
        <v>46255.830555555563</v>
      </c>
      <c r="H7" s="16">
        <v>46255.836805555547</v>
      </c>
      <c r="I7" s="2" t="s">
        <v>1109</v>
      </c>
      <c r="J7" s="2" t="s">
        <v>1110</v>
      </c>
      <c r="K7" s="2" t="s">
        <v>1104</v>
      </c>
    </row>
    <row r="8" spans="1:11" ht="34" customHeight="1" x14ac:dyDescent="0.2">
      <c r="A8" s="2" t="s">
        <v>237</v>
      </c>
      <c r="B8" s="2" t="s">
        <v>1111</v>
      </c>
      <c r="C8" s="2" t="s">
        <v>1112</v>
      </c>
      <c r="D8" s="7">
        <v>46256</v>
      </c>
      <c r="E8" s="12">
        <v>46256.619444444441</v>
      </c>
      <c r="F8" s="12">
        <v>46256.628472222219</v>
      </c>
      <c r="G8" s="16">
        <v>46256.827777777777</v>
      </c>
      <c r="H8" s="16">
        <v>46256.836805555547</v>
      </c>
      <c r="I8" s="2" t="s">
        <v>1113</v>
      </c>
      <c r="J8" s="2" t="s">
        <v>1114</v>
      </c>
      <c r="K8" s="2" t="s">
        <v>1115</v>
      </c>
    </row>
    <row r="9" spans="1:11" ht="34" customHeight="1" x14ac:dyDescent="0.2">
      <c r="A9" s="2" t="s">
        <v>1015</v>
      </c>
      <c r="B9" s="2" t="s">
        <v>1116</v>
      </c>
      <c r="C9" s="2" t="s">
        <v>1112</v>
      </c>
      <c r="D9" s="7">
        <v>46257</v>
      </c>
      <c r="E9" s="12">
        <v>46257.623611111107</v>
      </c>
      <c r="F9" s="12">
        <v>46257.631944444453</v>
      </c>
      <c r="G9" s="16">
        <v>46257.831944444442</v>
      </c>
      <c r="H9" s="16">
        <v>46257.840277777781</v>
      </c>
      <c r="I9" s="2" t="s">
        <v>1117</v>
      </c>
      <c r="J9" s="2" t="s">
        <v>1118</v>
      </c>
      <c r="K9" s="2" t="s">
        <v>1119</v>
      </c>
    </row>
    <row r="10" spans="1:11" ht="34" customHeight="1" x14ac:dyDescent="0.2">
      <c r="A10" s="2" t="s">
        <v>431</v>
      </c>
      <c r="B10" s="2" t="s">
        <v>1120</v>
      </c>
      <c r="C10" s="2" t="s">
        <v>1112</v>
      </c>
      <c r="D10" s="7">
        <v>46259</v>
      </c>
      <c r="E10" s="12">
        <v>46258.798611111109</v>
      </c>
      <c r="F10" s="12">
        <v>46258.809027777781</v>
      </c>
      <c r="G10" s="16">
        <v>46259.006944444453</v>
      </c>
      <c r="H10" s="16">
        <v>46259.017361111109</v>
      </c>
      <c r="I10" s="2" t="s">
        <v>1121</v>
      </c>
      <c r="J10" s="2" t="s">
        <v>1122</v>
      </c>
      <c r="K10" s="2" t="s">
        <v>1123</v>
      </c>
    </row>
    <row r="11" spans="1:11" ht="34" customHeight="1" x14ac:dyDescent="0.2">
      <c r="A11" s="2" t="s">
        <v>1016</v>
      </c>
      <c r="B11" s="2" t="s">
        <v>1124</v>
      </c>
      <c r="C11" s="2" t="s">
        <v>1112</v>
      </c>
      <c r="D11" s="7">
        <v>46260</v>
      </c>
      <c r="E11" s="12">
        <v>46260.068055555559</v>
      </c>
      <c r="F11" s="12">
        <v>46260.090277777781</v>
      </c>
      <c r="G11" s="16">
        <v>46260.276388888888</v>
      </c>
      <c r="H11" s="16">
        <v>46260.298611111109</v>
      </c>
      <c r="I11" s="2" t="s">
        <v>1125</v>
      </c>
      <c r="J11" s="2" t="s">
        <v>1126</v>
      </c>
      <c r="K11" s="2" t="s">
        <v>1127</v>
      </c>
    </row>
    <row r="12" spans="1:11" ht="34" customHeight="1" x14ac:dyDescent="0.2">
      <c r="A12" s="2" t="s">
        <v>257</v>
      </c>
      <c r="B12" s="2" t="s">
        <v>1128</v>
      </c>
      <c r="C12" s="2" t="s">
        <v>1112</v>
      </c>
      <c r="D12" s="7">
        <v>46261</v>
      </c>
      <c r="E12" s="12">
        <v>46261.577777777777</v>
      </c>
      <c r="F12" s="12">
        <v>46261.587500000001</v>
      </c>
      <c r="G12" s="16">
        <v>46261.786111111112</v>
      </c>
      <c r="H12" s="16">
        <v>46261.79583333333</v>
      </c>
      <c r="I12" s="2" t="s">
        <v>1129</v>
      </c>
      <c r="J12" s="2" t="s">
        <v>1130</v>
      </c>
      <c r="K12" s="2" t="s">
        <v>1131</v>
      </c>
    </row>
    <row r="13" spans="1:11" ht="34" customHeight="1" x14ac:dyDescent="0.2">
      <c r="A13" s="2" t="s">
        <v>447</v>
      </c>
      <c r="B13" s="2" t="s">
        <v>1132</v>
      </c>
      <c r="C13" s="2" t="s">
        <v>1112</v>
      </c>
      <c r="D13" s="7">
        <v>46262</v>
      </c>
      <c r="E13" s="12">
        <v>46262.609027777777</v>
      </c>
      <c r="F13" s="12">
        <v>46262.619444444441</v>
      </c>
      <c r="G13" s="16">
        <v>46262.817361111112</v>
      </c>
      <c r="H13" s="16">
        <v>46262.827777777777</v>
      </c>
      <c r="I13" s="2" t="s">
        <v>1133</v>
      </c>
      <c r="J13" s="2" t="s">
        <v>1130</v>
      </c>
      <c r="K13" s="2" t="s">
        <v>1134</v>
      </c>
    </row>
    <row r="14" spans="1:11" ht="34" customHeight="1" x14ac:dyDescent="0.2">
      <c r="A14" s="2" t="s">
        <v>462</v>
      </c>
      <c r="B14" s="2" t="s">
        <v>1135</v>
      </c>
      <c r="C14" s="2" t="s">
        <v>1112</v>
      </c>
      <c r="D14" s="7">
        <v>46263</v>
      </c>
      <c r="E14" s="12">
        <v>46263.6</v>
      </c>
      <c r="F14" s="12">
        <v>46263.609722222223</v>
      </c>
      <c r="G14" s="16">
        <v>46263.808333333327</v>
      </c>
      <c r="H14" s="16">
        <v>46263.818055555559</v>
      </c>
      <c r="I14" s="2" t="s">
        <v>1136</v>
      </c>
      <c r="J14" s="2" t="s">
        <v>1137</v>
      </c>
      <c r="K14" s="2" t="s">
        <v>1138</v>
      </c>
    </row>
    <row r="15" spans="1:11" ht="34" customHeight="1" x14ac:dyDescent="0.2">
      <c r="A15" s="2" t="s">
        <v>1017</v>
      </c>
      <c r="B15" s="2" t="s">
        <v>1139</v>
      </c>
      <c r="C15" s="2" t="s">
        <v>1112</v>
      </c>
      <c r="D15" s="7">
        <v>46264</v>
      </c>
      <c r="E15" s="12">
        <v>46264.609722222223</v>
      </c>
      <c r="F15" s="12">
        <v>46264.622916666667</v>
      </c>
      <c r="G15" s="16">
        <v>46264.818055555559</v>
      </c>
      <c r="H15" s="16">
        <v>46264.831250000003</v>
      </c>
      <c r="I15" s="2" t="s">
        <v>1140</v>
      </c>
      <c r="J15" s="2" t="s">
        <v>1141</v>
      </c>
      <c r="K15" s="2" t="s">
        <v>1142</v>
      </c>
    </row>
    <row r="16" spans="1:11" ht="48" customHeight="1" x14ac:dyDescent="0.2">
      <c r="A16" s="2" t="s">
        <v>1018</v>
      </c>
      <c r="B16" s="2" t="s">
        <v>1143</v>
      </c>
      <c r="C16" s="2" t="s">
        <v>1112</v>
      </c>
      <c r="D16" s="7">
        <v>46265</v>
      </c>
      <c r="E16" s="12">
        <v>46265.60833333333</v>
      </c>
      <c r="F16" s="12">
        <v>46265.621527777781</v>
      </c>
      <c r="G16" s="16">
        <v>46265.816666666673</v>
      </c>
      <c r="H16" s="16">
        <v>46265.829861111109</v>
      </c>
      <c r="I16" s="2" t="s">
        <v>1144</v>
      </c>
      <c r="J16" s="2" t="s">
        <v>1145</v>
      </c>
      <c r="K16" s="2" t="s">
        <v>1146</v>
      </c>
    </row>
    <row r="17" spans="1:11" ht="34" customHeight="1" x14ac:dyDescent="0.2">
      <c r="A17" s="2" t="s">
        <v>292</v>
      </c>
      <c r="B17" s="2" t="s">
        <v>1147</v>
      </c>
      <c r="C17" s="2" t="s">
        <v>1112</v>
      </c>
      <c r="D17" s="7">
        <v>46266</v>
      </c>
      <c r="E17" s="12">
        <v>46266.694444444453</v>
      </c>
      <c r="F17" s="12">
        <v>46266.70208333333</v>
      </c>
      <c r="G17" s="16">
        <v>46266.902777777781</v>
      </c>
      <c r="H17" s="16">
        <v>46266.910416666673</v>
      </c>
      <c r="I17" s="2" t="s">
        <v>1148</v>
      </c>
      <c r="J17" s="2" t="s">
        <v>1149</v>
      </c>
      <c r="K17" s="2" t="s">
        <v>1150</v>
      </c>
    </row>
    <row r="18" spans="1:11" ht="48" customHeight="1" x14ac:dyDescent="0.2">
      <c r="A18" s="2" t="s">
        <v>676</v>
      </c>
      <c r="B18" s="2" t="s">
        <v>1151</v>
      </c>
      <c r="C18" s="2" t="s">
        <v>1112</v>
      </c>
      <c r="D18" s="7">
        <v>46267</v>
      </c>
      <c r="E18" s="12">
        <v>46268.087500000001</v>
      </c>
      <c r="F18" s="12">
        <v>46268.097916666673</v>
      </c>
      <c r="G18" s="16">
        <v>46268.29583333333</v>
      </c>
      <c r="H18" s="16">
        <v>46268.306250000001</v>
      </c>
      <c r="I18" s="2" t="s">
        <v>1152</v>
      </c>
      <c r="J18" s="2" t="s">
        <v>1153</v>
      </c>
      <c r="K18" s="2" t="s">
        <v>1154</v>
      </c>
    </row>
  </sheetData>
  <mergeCells count="2">
    <mergeCell ref="A2:K2"/>
    <mergeCell ref="A1:K1"/>
  </mergeCells>
  <pageMargins left="0.25" right="0.25" top="0.45" bottom="0.45" header="0.2" footer="0.2"/>
  <pageSetup fitToHeight="0" orientation="landscape"/>
  <headerFooter>
    <oddFooter>&amp;C&amp;8 &amp;K5E6C75Pakistan AI Policy Monitor | &amp;P of &amp;N</oddFooter>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F6B6D"/>
    <pageSetUpPr fitToPage="1"/>
  </sheetPr>
  <dimension ref="A1:J115"/>
  <sheetViews>
    <sheetView showGridLines="0" zoomScale="90" zoomScaleNormal="90"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11" customWidth="1"/>
    <col min="2" max="2" width="30" customWidth="1"/>
    <col min="3" max="3" width="48" customWidth="1"/>
    <col min="4" max="4" width="58" customWidth="1"/>
    <col min="5" max="5" width="30" customWidth="1"/>
    <col min="6" max="6" width="28" customWidth="1"/>
    <col min="7" max="7" width="26" customWidth="1"/>
    <col min="8" max="8" width="16" customWidth="1"/>
    <col min="9" max="9" width="20" customWidth="1"/>
    <col min="10" max="10" width="58" customWidth="1"/>
  </cols>
  <sheetData>
    <row r="1" spans="1:10" ht="33" customHeight="1" x14ac:dyDescent="0.2">
      <c r="A1" s="28" t="s">
        <v>31</v>
      </c>
      <c r="B1" s="24"/>
      <c r="C1" s="24"/>
      <c r="D1" s="24"/>
      <c r="E1" s="24"/>
      <c r="F1" s="24"/>
      <c r="G1" s="24"/>
      <c r="H1" s="24"/>
      <c r="I1" s="24"/>
      <c r="J1" s="24"/>
    </row>
    <row r="2" spans="1:10" ht="30" customHeight="1" x14ac:dyDescent="0.2">
      <c r="A2" s="25" t="s">
        <v>1155</v>
      </c>
      <c r="B2" s="24"/>
      <c r="C2" s="24"/>
      <c r="D2" s="24"/>
      <c r="E2" s="24"/>
      <c r="F2" s="24"/>
      <c r="G2" s="24"/>
      <c r="H2" s="24"/>
      <c r="I2" s="24"/>
      <c r="J2" s="24"/>
    </row>
    <row r="4" spans="1:10" ht="42" customHeight="1" x14ac:dyDescent="0.2">
      <c r="A4" s="1" t="s">
        <v>1156</v>
      </c>
      <c r="B4" s="1" t="s">
        <v>1157</v>
      </c>
      <c r="C4" s="1" t="s">
        <v>1158</v>
      </c>
      <c r="D4" s="1" t="s">
        <v>1159</v>
      </c>
      <c r="E4" s="1" t="s">
        <v>1160</v>
      </c>
      <c r="F4" s="1" t="s">
        <v>97</v>
      </c>
      <c r="G4" s="1" t="s">
        <v>96</v>
      </c>
      <c r="H4" s="1" t="s">
        <v>1161</v>
      </c>
      <c r="I4" s="1" t="s">
        <v>1162</v>
      </c>
      <c r="J4" s="1" t="s">
        <v>1163</v>
      </c>
    </row>
    <row r="5" spans="1:10" ht="34" customHeight="1" x14ac:dyDescent="0.2">
      <c r="A5" s="2" t="s">
        <v>1164</v>
      </c>
      <c r="B5" s="2" t="s">
        <v>1165</v>
      </c>
      <c r="C5" s="2" t="s">
        <v>1166</v>
      </c>
      <c r="D5" s="6" t="s">
        <v>1167</v>
      </c>
      <c r="E5" s="2" t="s">
        <v>1168</v>
      </c>
      <c r="F5" s="2" t="s">
        <v>1169</v>
      </c>
      <c r="G5" s="2"/>
      <c r="H5" s="7">
        <v>46268</v>
      </c>
      <c r="I5" s="2" t="s">
        <v>1170</v>
      </c>
      <c r="J5" s="2" t="s">
        <v>1171</v>
      </c>
    </row>
    <row r="6" spans="1:10" ht="34" customHeight="1" x14ac:dyDescent="0.2">
      <c r="A6" s="2" t="s">
        <v>1172</v>
      </c>
      <c r="B6" s="2" t="s">
        <v>353</v>
      </c>
      <c r="C6" s="2" t="s">
        <v>1173</v>
      </c>
      <c r="D6" s="6" t="s">
        <v>1174</v>
      </c>
      <c r="E6" s="2" t="s">
        <v>1175</v>
      </c>
      <c r="F6" s="7">
        <v>45869</v>
      </c>
      <c r="G6" s="2" t="s">
        <v>716</v>
      </c>
      <c r="H6" s="7">
        <v>46268</v>
      </c>
      <c r="I6" s="2" t="s">
        <v>1170</v>
      </c>
      <c r="J6" s="2" t="s">
        <v>1176</v>
      </c>
    </row>
    <row r="7" spans="1:10" ht="34" customHeight="1" x14ac:dyDescent="0.2">
      <c r="A7" s="2" t="s">
        <v>720</v>
      </c>
      <c r="B7" s="2" t="s">
        <v>1177</v>
      </c>
      <c r="C7" s="2" t="s">
        <v>1178</v>
      </c>
      <c r="D7" s="6" t="s">
        <v>721</v>
      </c>
      <c r="E7" s="2" t="s">
        <v>1179</v>
      </c>
      <c r="F7" s="7">
        <v>45868</v>
      </c>
      <c r="G7" s="7">
        <v>45868</v>
      </c>
      <c r="H7" s="7">
        <v>46268</v>
      </c>
      <c r="I7" s="2" t="s">
        <v>1170</v>
      </c>
      <c r="J7" s="2" t="s">
        <v>1180</v>
      </c>
    </row>
    <row r="8" spans="1:10" ht="34" customHeight="1" x14ac:dyDescent="0.2">
      <c r="A8" s="2" t="s">
        <v>737</v>
      </c>
      <c r="B8" s="2" t="s">
        <v>734</v>
      </c>
      <c r="C8" s="2" t="s">
        <v>1181</v>
      </c>
      <c r="D8" s="6" t="s">
        <v>738</v>
      </c>
      <c r="E8" s="2" t="s">
        <v>1182</v>
      </c>
      <c r="F8" s="2" t="s">
        <v>1169</v>
      </c>
      <c r="G8" s="7">
        <v>45544</v>
      </c>
      <c r="H8" s="7">
        <v>46268</v>
      </c>
      <c r="I8" s="2" t="s">
        <v>1170</v>
      </c>
      <c r="J8" s="2" t="s">
        <v>1183</v>
      </c>
    </row>
    <row r="9" spans="1:10" ht="24" customHeight="1" x14ac:dyDescent="0.2">
      <c r="A9" s="2" t="s">
        <v>1184</v>
      </c>
      <c r="B9" s="2" t="s">
        <v>353</v>
      </c>
      <c r="C9" s="2" t="s">
        <v>1185</v>
      </c>
      <c r="D9" s="6" t="s">
        <v>1186</v>
      </c>
      <c r="E9" s="2" t="s">
        <v>1168</v>
      </c>
      <c r="F9" s="2" t="s">
        <v>1169</v>
      </c>
      <c r="G9" s="2"/>
      <c r="H9" s="7">
        <v>46268</v>
      </c>
      <c r="I9" s="2" t="s">
        <v>1170</v>
      </c>
      <c r="J9" s="2" t="s">
        <v>1187</v>
      </c>
    </row>
    <row r="10" spans="1:10" ht="34" customHeight="1" x14ac:dyDescent="0.2">
      <c r="A10" s="2" t="s">
        <v>1188</v>
      </c>
      <c r="B10" s="2" t="s">
        <v>1189</v>
      </c>
      <c r="C10" s="2" t="s">
        <v>1190</v>
      </c>
      <c r="D10" s="6" t="s">
        <v>1191</v>
      </c>
      <c r="E10" s="2" t="s">
        <v>1192</v>
      </c>
      <c r="F10" s="7">
        <v>46156</v>
      </c>
      <c r="G10" s="7">
        <v>46156</v>
      </c>
      <c r="H10" s="7">
        <v>46268</v>
      </c>
      <c r="I10" s="2" t="s">
        <v>1170</v>
      </c>
      <c r="J10" s="2" t="s">
        <v>1193</v>
      </c>
    </row>
    <row r="11" spans="1:10" ht="34" customHeight="1" x14ac:dyDescent="0.2">
      <c r="A11" s="2" t="s">
        <v>1194</v>
      </c>
      <c r="B11" s="2" t="s">
        <v>734</v>
      </c>
      <c r="C11" s="2" t="s">
        <v>1195</v>
      </c>
      <c r="D11" s="6" t="s">
        <v>1196</v>
      </c>
      <c r="E11" s="2" t="s">
        <v>1182</v>
      </c>
      <c r="F11" s="2" t="s">
        <v>1169</v>
      </c>
      <c r="G11" s="7">
        <v>44970</v>
      </c>
      <c r="H11" s="7">
        <v>46268</v>
      </c>
      <c r="I11" s="2" t="s">
        <v>1170</v>
      </c>
      <c r="J11" s="2" t="s">
        <v>1197</v>
      </c>
    </row>
    <row r="12" spans="1:10" ht="24" customHeight="1" x14ac:dyDescent="0.2">
      <c r="A12" s="2" t="s">
        <v>1198</v>
      </c>
      <c r="B12" s="2" t="s">
        <v>734</v>
      </c>
      <c r="C12" s="2" t="s">
        <v>1199</v>
      </c>
      <c r="D12" s="6" t="s">
        <v>1200</v>
      </c>
      <c r="E12" s="2" t="s">
        <v>1182</v>
      </c>
      <c r="F12" s="2" t="s">
        <v>1169</v>
      </c>
      <c r="G12" s="2"/>
      <c r="H12" s="7">
        <v>46268</v>
      </c>
      <c r="I12" s="2" t="s">
        <v>1170</v>
      </c>
      <c r="J12" s="2" t="s">
        <v>1201</v>
      </c>
    </row>
    <row r="13" spans="1:10" ht="34" customHeight="1" x14ac:dyDescent="0.2">
      <c r="A13" s="2" t="s">
        <v>1202</v>
      </c>
      <c r="B13" s="2" t="s">
        <v>1203</v>
      </c>
      <c r="C13" s="2" t="s">
        <v>1204</v>
      </c>
      <c r="D13" s="6" t="s">
        <v>1205</v>
      </c>
      <c r="E13" s="2" t="s">
        <v>1206</v>
      </c>
      <c r="F13" s="7">
        <v>46203</v>
      </c>
      <c r="G13" s="7">
        <v>46203</v>
      </c>
      <c r="H13" s="7">
        <v>46268</v>
      </c>
      <c r="I13" s="2" t="s">
        <v>1170</v>
      </c>
      <c r="J13" s="2" t="s">
        <v>1207</v>
      </c>
    </row>
    <row r="14" spans="1:10" ht="34" customHeight="1" x14ac:dyDescent="0.2">
      <c r="A14" s="2" t="s">
        <v>1208</v>
      </c>
      <c r="B14" s="2" t="s">
        <v>1209</v>
      </c>
      <c r="C14" s="2" t="s">
        <v>1210</v>
      </c>
      <c r="D14" s="6" t="s">
        <v>1211</v>
      </c>
      <c r="E14" s="2" t="s">
        <v>1206</v>
      </c>
      <c r="F14" s="7">
        <v>46239</v>
      </c>
      <c r="G14" s="7">
        <v>46239</v>
      </c>
      <c r="H14" s="7">
        <v>46268</v>
      </c>
      <c r="I14" s="2" t="s">
        <v>1170</v>
      </c>
      <c r="J14" s="2" t="s">
        <v>1212</v>
      </c>
    </row>
    <row r="15" spans="1:10" ht="34" customHeight="1" x14ac:dyDescent="0.2">
      <c r="A15" s="2" t="s">
        <v>1213</v>
      </c>
      <c r="B15" s="2" t="s">
        <v>1209</v>
      </c>
      <c r="C15" s="2" t="s">
        <v>1214</v>
      </c>
      <c r="D15" s="6" t="s">
        <v>1215</v>
      </c>
      <c r="E15" s="2" t="s">
        <v>1206</v>
      </c>
      <c r="F15" s="7">
        <v>46255</v>
      </c>
      <c r="G15" s="7">
        <v>46255</v>
      </c>
      <c r="H15" s="7">
        <v>46268</v>
      </c>
      <c r="I15" s="2" t="s">
        <v>1170</v>
      </c>
      <c r="J15" s="2" t="s">
        <v>1216</v>
      </c>
    </row>
    <row r="16" spans="1:10" ht="34" customHeight="1" x14ac:dyDescent="0.2">
      <c r="A16" s="2" t="s">
        <v>1217</v>
      </c>
      <c r="B16" s="2" t="s">
        <v>1218</v>
      </c>
      <c r="C16" s="2" t="s">
        <v>1219</v>
      </c>
      <c r="D16" s="6" t="s">
        <v>1220</v>
      </c>
      <c r="E16" s="2" t="s">
        <v>1221</v>
      </c>
      <c r="F16" s="7">
        <v>46245</v>
      </c>
      <c r="G16" s="2" t="s">
        <v>781</v>
      </c>
      <c r="H16" s="7">
        <v>46268</v>
      </c>
      <c r="I16" s="2" t="s">
        <v>1170</v>
      </c>
      <c r="J16" s="2" t="s">
        <v>1222</v>
      </c>
    </row>
    <row r="17" spans="1:10" ht="34" customHeight="1" x14ac:dyDescent="0.2">
      <c r="A17" s="2" t="s">
        <v>1223</v>
      </c>
      <c r="B17" s="2" t="s">
        <v>187</v>
      </c>
      <c r="C17" s="2" t="s">
        <v>1224</v>
      </c>
      <c r="D17" s="6" t="s">
        <v>1225</v>
      </c>
      <c r="E17" s="2" t="s">
        <v>1226</v>
      </c>
      <c r="F17" s="2" t="s">
        <v>1169</v>
      </c>
      <c r="G17" s="2"/>
      <c r="H17" s="7">
        <v>46268</v>
      </c>
      <c r="I17" s="2" t="s">
        <v>1170</v>
      </c>
      <c r="J17" s="2" t="s">
        <v>1227</v>
      </c>
    </row>
    <row r="18" spans="1:10" ht="34" customHeight="1" x14ac:dyDescent="0.2">
      <c r="A18" s="2" t="s">
        <v>1228</v>
      </c>
      <c r="B18" s="2" t="s">
        <v>187</v>
      </c>
      <c r="C18" s="2" t="s">
        <v>1229</v>
      </c>
      <c r="D18" s="6" t="s">
        <v>1230</v>
      </c>
      <c r="E18" s="2" t="s">
        <v>1231</v>
      </c>
      <c r="F18" s="2" t="s">
        <v>414</v>
      </c>
      <c r="G18" s="2"/>
      <c r="H18" s="7">
        <v>46268</v>
      </c>
      <c r="I18" s="2" t="s">
        <v>1170</v>
      </c>
      <c r="J18" s="2" t="s">
        <v>1232</v>
      </c>
    </row>
    <row r="19" spans="1:10" ht="34" customHeight="1" x14ac:dyDescent="0.2">
      <c r="A19" s="2" t="s">
        <v>786</v>
      </c>
      <c r="B19" s="2" t="s">
        <v>1233</v>
      </c>
      <c r="C19" s="2" t="s">
        <v>1234</v>
      </c>
      <c r="D19" s="6" t="s">
        <v>787</v>
      </c>
      <c r="E19" s="2" t="s">
        <v>1235</v>
      </c>
      <c r="F19" s="7">
        <v>46245</v>
      </c>
      <c r="G19" s="7">
        <v>46244</v>
      </c>
      <c r="H19" s="7">
        <v>46268</v>
      </c>
      <c r="I19" s="2" t="s">
        <v>1170</v>
      </c>
      <c r="J19" s="2" t="s">
        <v>1236</v>
      </c>
    </row>
    <row r="20" spans="1:10" ht="24" customHeight="1" x14ac:dyDescent="0.2">
      <c r="A20" s="2" t="s">
        <v>802</v>
      </c>
      <c r="B20" s="2" t="s">
        <v>798</v>
      </c>
      <c r="C20" s="2" t="s">
        <v>1237</v>
      </c>
      <c r="D20" s="6" t="s">
        <v>803</v>
      </c>
      <c r="E20" s="2" t="s">
        <v>1238</v>
      </c>
      <c r="F20" s="2" t="s">
        <v>1169</v>
      </c>
      <c r="G20" s="2"/>
      <c r="H20" s="7">
        <v>46268</v>
      </c>
      <c r="I20" s="2" t="s">
        <v>1170</v>
      </c>
      <c r="J20" s="2" t="s">
        <v>1239</v>
      </c>
    </row>
    <row r="21" spans="1:10" ht="34" customHeight="1" x14ac:dyDescent="0.2">
      <c r="A21" s="2" t="s">
        <v>1240</v>
      </c>
      <c r="B21" s="2" t="s">
        <v>1241</v>
      </c>
      <c r="C21" s="2" t="s">
        <v>1242</v>
      </c>
      <c r="D21" s="6" t="s">
        <v>1243</v>
      </c>
      <c r="E21" s="2" t="s">
        <v>1244</v>
      </c>
      <c r="F21" s="2" t="s">
        <v>1169</v>
      </c>
      <c r="G21" s="2"/>
      <c r="H21" s="7">
        <v>46268</v>
      </c>
      <c r="I21" s="2" t="s">
        <v>1170</v>
      </c>
      <c r="J21" s="2" t="s">
        <v>1245</v>
      </c>
    </row>
    <row r="22" spans="1:10" ht="34" customHeight="1" x14ac:dyDescent="0.2">
      <c r="A22" s="2" t="s">
        <v>1246</v>
      </c>
      <c r="B22" s="2" t="s">
        <v>1247</v>
      </c>
      <c r="C22" s="2" t="s">
        <v>1248</v>
      </c>
      <c r="D22" s="6" t="s">
        <v>1249</v>
      </c>
      <c r="E22" s="2" t="s">
        <v>1250</v>
      </c>
      <c r="F22" s="7">
        <v>46255</v>
      </c>
      <c r="G22" s="7">
        <v>46255</v>
      </c>
      <c r="H22" s="7">
        <v>46268</v>
      </c>
      <c r="I22" s="2" t="s">
        <v>1170</v>
      </c>
      <c r="J22" s="2" t="s">
        <v>1251</v>
      </c>
    </row>
    <row r="23" spans="1:10" ht="48" customHeight="1" x14ac:dyDescent="0.2">
      <c r="A23" s="2" t="s">
        <v>1252</v>
      </c>
      <c r="B23" s="2" t="s">
        <v>1247</v>
      </c>
      <c r="C23" s="2" t="s">
        <v>1253</v>
      </c>
      <c r="D23" s="6" t="s">
        <v>1254</v>
      </c>
      <c r="E23" s="2" t="s">
        <v>1250</v>
      </c>
      <c r="F23" s="7">
        <v>46255</v>
      </c>
      <c r="G23" s="7">
        <v>46255</v>
      </c>
      <c r="H23" s="7">
        <v>46268</v>
      </c>
      <c r="I23" s="2" t="s">
        <v>1170</v>
      </c>
      <c r="J23" s="2" t="s">
        <v>1251</v>
      </c>
    </row>
    <row r="24" spans="1:10" ht="34" customHeight="1" x14ac:dyDescent="0.2">
      <c r="A24" s="2" t="s">
        <v>1255</v>
      </c>
      <c r="B24" s="2" t="s">
        <v>1241</v>
      </c>
      <c r="C24" s="2" t="s">
        <v>1256</v>
      </c>
      <c r="D24" s="6" t="s">
        <v>1257</v>
      </c>
      <c r="E24" s="2" t="s">
        <v>1258</v>
      </c>
      <c r="F24" s="2" t="s">
        <v>1169</v>
      </c>
      <c r="G24" s="2"/>
      <c r="H24" s="7">
        <v>46268</v>
      </c>
      <c r="I24" s="2" t="s">
        <v>1170</v>
      </c>
      <c r="J24" s="2" t="s">
        <v>1259</v>
      </c>
    </row>
    <row r="25" spans="1:10" ht="34" customHeight="1" x14ac:dyDescent="0.2">
      <c r="A25" s="2" t="s">
        <v>1260</v>
      </c>
      <c r="B25" s="2" t="s">
        <v>1177</v>
      </c>
      <c r="C25" s="2" t="s">
        <v>1261</v>
      </c>
      <c r="D25" s="6" t="s">
        <v>1262</v>
      </c>
      <c r="E25" s="2" t="s">
        <v>1179</v>
      </c>
      <c r="F25" s="7">
        <v>46256</v>
      </c>
      <c r="G25" s="7">
        <v>46255</v>
      </c>
      <c r="H25" s="7">
        <v>46268</v>
      </c>
      <c r="I25" s="2" t="s">
        <v>1170</v>
      </c>
      <c r="J25" s="2" t="s">
        <v>1263</v>
      </c>
    </row>
    <row r="26" spans="1:10" ht="34" customHeight="1" x14ac:dyDescent="0.2">
      <c r="A26" s="2" t="s">
        <v>1264</v>
      </c>
      <c r="B26" s="2" t="s">
        <v>187</v>
      </c>
      <c r="C26" s="2" t="s">
        <v>1265</v>
      </c>
      <c r="D26" s="6" t="s">
        <v>1266</v>
      </c>
      <c r="E26" s="2" t="s">
        <v>1226</v>
      </c>
      <c r="F26" s="2" t="s">
        <v>1169</v>
      </c>
      <c r="G26" s="2"/>
      <c r="H26" s="7">
        <v>46268</v>
      </c>
      <c r="I26" s="2" t="s">
        <v>1170</v>
      </c>
      <c r="J26" s="2" t="s">
        <v>1267</v>
      </c>
    </row>
    <row r="27" spans="1:10" ht="34" customHeight="1" x14ac:dyDescent="0.2">
      <c r="A27" s="2" t="s">
        <v>1268</v>
      </c>
      <c r="B27" s="2" t="s">
        <v>187</v>
      </c>
      <c r="C27" s="2" t="s">
        <v>1269</v>
      </c>
      <c r="D27" s="6" t="s">
        <v>1270</v>
      </c>
      <c r="E27" s="2" t="s">
        <v>1271</v>
      </c>
      <c r="F27" s="7">
        <v>46258</v>
      </c>
      <c r="G27" s="7">
        <v>46258</v>
      </c>
      <c r="H27" s="7">
        <v>46268</v>
      </c>
      <c r="I27" s="2" t="s">
        <v>1170</v>
      </c>
      <c r="J27" s="2" t="s">
        <v>1272</v>
      </c>
    </row>
    <row r="28" spans="1:10" ht="34" customHeight="1" x14ac:dyDescent="0.2">
      <c r="A28" s="2" t="s">
        <v>1273</v>
      </c>
      <c r="B28" s="2" t="s">
        <v>187</v>
      </c>
      <c r="C28" s="2" t="s">
        <v>1274</v>
      </c>
      <c r="D28" s="6" t="s">
        <v>1275</v>
      </c>
      <c r="E28" s="2" t="s">
        <v>1271</v>
      </c>
      <c r="F28" s="7">
        <v>46258</v>
      </c>
      <c r="G28" s="7">
        <v>46258</v>
      </c>
      <c r="H28" s="7">
        <v>46268</v>
      </c>
      <c r="I28" s="2" t="s">
        <v>1170</v>
      </c>
      <c r="J28" s="2" t="s">
        <v>1272</v>
      </c>
    </row>
    <row r="29" spans="1:10" ht="34" customHeight="1" x14ac:dyDescent="0.2">
      <c r="A29" s="2" t="s">
        <v>1276</v>
      </c>
      <c r="B29" s="2" t="s">
        <v>1277</v>
      </c>
      <c r="C29" s="2" t="s">
        <v>1278</v>
      </c>
      <c r="D29" s="6" t="s">
        <v>1279</v>
      </c>
      <c r="E29" s="2" t="s">
        <v>1221</v>
      </c>
      <c r="F29" s="7">
        <v>46262</v>
      </c>
      <c r="G29" s="7">
        <v>46262</v>
      </c>
      <c r="H29" s="7">
        <v>46268</v>
      </c>
      <c r="I29" s="2" t="s">
        <v>1170</v>
      </c>
      <c r="J29" s="2" t="s">
        <v>1280</v>
      </c>
    </row>
    <row r="30" spans="1:10" ht="34" customHeight="1" x14ac:dyDescent="0.2">
      <c r="A30" s="2" t="s">
        <v>1281</v>
      </c>
      <c r="B30" s="2" t="s">
        <v>734</v>
      </c>
      <c r="C30" s="2" t="s">
        <v>1282</v>
      </c>
      <c r="D30" s="6" t="s">
        <v>1283</v>
      </c>
      <c r="E30" s="2" t="s">
        <v>1182</v>
      </c>
      <c r="F30" s="2" t="s">
        <v>1169</v>
      </c>
      <c r="G30" s="7">
        <v>46262</v>
      </c>
      <c r="H30" s="7">
        <v>46268</v>
      </c>
      <c r="I30" s="2" t="s">
        <v>1170</v>
      </c>
      <c r="J30" s="2" t="s">
        <v>1284</v>
      </c>
    </row>
    <row r="31" spans="1:10" ht="34" customHeight="1" x14ac:dyDescent="0.2">
      <c r="A31" s="2" t="s">
        <v>238</v>
      </c>
      <c r="B31" s="2" t="s">
        <v>234</v>
      </c>
      <c r="C31" s="2" t="s">
        <v>1285</v>
      </c>
      <c r="D31" s="6" t="s">
        <v>239</v>
      </c>
      <c r="E31" s="2" t="s">
        <v>1286</v>
      </c>
      <c r="F31" s="2" t="s">
        <v>1169</v>
      </c>
      <c r="G31" s="7">
        <v>46118</v>
      </c>
      <c r="H31" s="7">
        <v>46268</v>
      </c>
      <c r="I31" s="2" t="s">
        <v>1170</v>
      </c>
      <c r="J31" s="2" t="s">
        <v>1287</v>
      </c>
    </row>
    <row r="32" spans="1:10" ht="34" customHeight="1" x14ac:dyDescent="0.2">
      <c r="A32" s="2" t="s">
        <v>240</v>
      </c>
      <c r="B32" s="2" t="s">
        <v>1288</v>
      </c>
      <c r="C32" s="2" t="s">
        <v>1289</v>
      </c>
      <c r="D32" s="6" t="s">
        <v>241</v>
      </c>
      <c r="E32" s="2" t="s">
        <v>1235</v>
      </c>
      <c r="F32" s="7">
        <v>46256</v>
      </c>
      <c r="G32" s="7">
        <v>46255</v>
      </c>
      <c r="H32" s="7">
        <v>46268</v>
      </c>
      <c r="I32" s="2" t="s">
        <v>1170</v>
      </c>
      <c r="J32" s="2" t="s">
        <v>1290</v>
      </c>
    </row>
    <row r="33" spans="1:10" ht="34" customHeight="1" x14ac:dyDescent="0.2">
      <c r="A33" s="2" t="s">
        <v>258</v>
      </c>
      <c r="B33" s="2" t="s">
        <v>1291</v>
      </c>
      <c r="C33" s="2" t="s">
        <v>1292</v>
      </c>
      <c r="D33" s="6" t="s">
        <v>259</v>
      </c>
      <c r="E33" s="2" t="s">
        <v>1293</v>
      </c>
      <c r="F33" s="7">
        <v>46261</v>
      </c>
      <c r="G33" s="7">
        <v>46261</v>
      </c>
      <c r="H33" s="7">
        <v>46268</v>
      </c>
      <c r="I33" s="2" t="s">
        <v>1170</v>
      </c>
      <c r="J33" s="2" t="s">
        <v>1294</v>
      </c>
    </row>
    <row r="34" spans="1:10" ht="34" customHeight="1" x14ac:dyDescent="0.2">
      <c r="A34" s="2" t="s">
        <v>1295</v>
      </c>
      <c r="B34" s="2" t="s">
        <v>1296</v>
      </c>
      <c r="C34" s="2" t="s">
        <v>1297</v>
      </c>
      <c r="D34" s="6" t="s">
        <v>1298</v>
      </c>
      <c r="E34" s="2" t="s">
        <v>1299</v>
      </c>
      <c r="F34" s="2" t="s">
        <v>1169</v>
      </c>
      <c r="G34" s="2"/>
      <c r="H34" s="7">
        <v>46268</v>
      </c>
      <c r="I34" s="2" t="s">
        <v>1170</v>
      </c>
      <c r="J34" s="2" t="s">
        <v>1300</v>
      </c>
    </row>
    <row r="35" spans="1:10" ht="34" customHeight="1" x14ac:dyDescent="0.2">
      <c r="A35" s="2" t="s">
        <v>1301</v>
      </c>
      <c r="B35" s="2" t="s">
        <v>1302</v>
      </c>
      <c r="C35" s="2" t="s">
        <v>1303</v>
      </c>
      <c r="D35" s="6" t="s">
        <v>1304</v>
      </c>
      <c r="E35" s="2" t="s">
        <v>1305</v>
      </c>
      <c r="F35" s="7">
        <v>46262</v>
      </c>
      <c r="G35" s="7">
        <v>46261</v>
      </c>
      <c r="H35" s="7">
        <v>46268</v>
      </c>
      <c r="I35" s="2" t="s">
        <v>1170</v>
      </c>
      <c r="J35" s="2" t="s">
        <v>1306</v>
      </c>
    </row>
    <row r="36" spans="1:10" ht="34" customHeight="1" x14ac:dyDescent="0.2">
      <c r="A36" s="2" t="s">
        <v>293</v>
      </c>
      <c r="B36" s="2" t="s">
        <v>1307</v>
      </c>
      <c r="C36" s="2" t="s">
        <v>1308</v>
      </c>
      <c r="D36" s="6" t="s">
        <v>294</v>
      </c>
      <c r="E36" s="2" t="s">
        <v>1309</v>
      </c>
      <c r="F36" s="7">
        <v>46266</v>
      </c>
      <c r="G36" s="7">
        <v>46266</v>
      </c>
      <c r="H36" s="7">
        <v>46268</v>
      </c>
      <c r="I36" s="2" t="s">
        <v>1170</v>
      </c>
      <c r="J36" s="2" t="s">
        <v>1310</v>
      </c>
    </row>
    <row r="37" spans="1:10" ht="34" customHeight="1" x14ac:dyDescent="0.2">
      <c r="A37" s="2" t="s">
        <v>1311</v>
      </c>
      <c r="B37" s="2" t="s">
        <v>1233</v>
      </c>
      <c r="C37" s="2" t="s">
        <v>1312</v>
      </c>
      <c r="D37" s="6" t="s">
        <v>1313</v>
      </c>
      <c r="E37" s="2" t="s">
        <v>1235</v>
      </c>
      <c r="F37" s="7">
        <v>46265</v>
      </c>
      <c r="G37" s="7">
        <v>46265</v>
      </c>
      <c r="H37" s="7">
        <v>46268</v>
      </c>
      <c r="I37" s="2" t="s">
        <v>1170</v>
      </c>
      <c r="J37" s="2" t="s">
        <v>1314</v>
      </c>
    </row>
    <row r="38" spans="1:10" ht="34" customHeight="1" x14ac:dyDescent="0.2">
      <c r="A38" s="2" t="s">
        <v>1315</v>
      </c>
      <c r="B38" s="2" t="s">
        <v>1316</v>
      </c>
      <c r="C38" s="2" t="s">
        <v>1317</v>
      </c>
      <c r="D38" s="6" t="s">
        <v>1318</v>
      </c>
      <c r="E38" s="2" t="s">
        <v>1235</v>
      </c>
      <c r="F38" s="7">
        <v>46266</v>
      </c>
      <c r="G38" s="7">
        <v>46265</v>
      </c>
      <c r="H38" s="7">
        <v>46268</v>
      </c>
      <c r="I38" s="2" t="s">
        <v>1170</v>
      </c>
      <c r="J38" s="2" t="s">
        <v>1319</v>
      </c>
    </row>
    <row r="39" spans="1:10" ht="34" customHeight="1" x14ac:dyDescent="0.2">
      <c r="A39" s="2" t="s">
        <v>324</v>
      </c>
      <c r="B39" s="2" t="s">
        <v>1320</v>
      </c>
      <c r="C39" s="2" t="s">
        <v>1321</v>
      </c>
      <c r="D39" s="6" t="s">
        <v>325</v>
      </c>
      <c r="E39" s="2" t="s">
        <v>1322</v>
      </c>
      <c r="F39" s="7">
        <v>46266</v>
      </c>
      <c r="G39" s="7">
        <v>46266</v>
      </c>
      <c r="H39" s="7">
        <v>46268</v>
      </c>
      <c r="I39" s="2" t="s">
        <v>1170</v>
      </c>
      <c r="J39" s="2" t="s">
        <v>1323</v>
      </c>
    </row>
    <row r="40" spans="1:10" ht="34" customHeight="1" x14ac:dyDescent="0.2">
      <c r="A40" s="2" t="s">
        <v>1324</v>
      </c>
      <c r="B40" s="2" t="s">
        <v>1325</v>
      </c>
      <c r="C40" s="2" t="s">
        <v>1326</v>
      </c>
      <c r="D40" s="6" t="s">
        <v>1327</v>
      </c>
      <c r="E40" s="2" t="s">
        <v>1328</v>
      </c>
      <c r="F40" s="7">
        <v>46252</v>
      </c>
      <c r="G40" s="7">
        <v>46265</v>
      </c>
      <c r="H40" s="7">
        <v>46268</v>
      </c>
      <c r="I40" s="2" t="s">
        <v>1170</v>
      </c>
      <c r="J40" s="2" t="s">
        <v>1329</v>
      </c>
    </row>
    <row r="41" spans="1:10" ht="24" customHeight="1" x14ac:dyDescent="0.2">
      <c r="A41" s="2" t="s">
        <v>1330</v>
      </c>
      <c r="B41" s="2" t="s">
        <v>1331</v>
      </c>
      <c r="C41" s="2" t="s">
        <v>1332</v>
      </c>
      <c r="D41" s="6" t="s">
        <v>1333</v>
      </c>
      <c r="E41" s="2" t="s">
        <v>1328</v>
      </c>
      <c r="F41" s="7">
        <v>46252</v>
      </c>
      <c r="G41" s="7">
        <v>46265</v>
      </c>
      <c r="H41" s="7">
        <v>46268</v>
      </c>
      <c r="I41" s="2" t="s">
        <v>1170</v>
      </c>
      <c r="J41" s="2" t="s">
        <v>1334</v>
      </c>
    </row>
    <row r="42" spans="1:10" ht="34" customHeight="1" x14ac:dyDescent="0.2">
      <c r="A42" s="2" t="s">
        <v>1335</v>
      </c>
      <c r="B42" s="2" t="s">
        <v>1325</v>
      </c>
      <c r="C42" s="2" t="s">
        <v>1336</v>
      </c>
      <c r="D42" s="6" t="s">
        <v>1337</v>
      </c>
      <c r="E42" s="2" t="s">
        <v>1328</v>
      </c>
      <c r="F42" s="7">
        <v>46165</v>
      </c>
      <c r="G42" s="7">
        <v>46253</v>
      </c>
      <c r="H42" s="7">
        <v>46268</v>
      </c>
      <c r="I42" s="2" t="s">
        <v>1170</v>
      </c>
      <c r="J42" s="2" t="s">
        <v>1338</v>
      </c>
    </row>
    <row r="43" spans="1:10" ht="24" customHeight="1" x14ac:dyDescent="0.2">
      <c r="A43" s="2" t="s">
        <v>1339</v>
      </c>
      <c r="B43" s="2" t="s">
        <v>1325</v>
      </c>
      <c r="C43" s="2" t="s">
        <v>1340</v>
      </c>
      <c r="D43" s="6" t="s">
        <v>1341</v>
      </c>
      <c r="E43" s="2" t="s">
        <v>1342</v>
      </c>
      <c r="F43" s="7">
        <v>46253</v>
      </c>
      <c r="G43" s="7">
        <v>46253</v>
      </c>
      <c r="H43" s="7">
        <v>46268</v>
      </c>
      <c r="I43" s="2" t="s">
        <v>1170</v>
      </c>
      <c r="J43" s="2" t="s">
        <v>1343</v>
      </c>
    </row>
    <row r="44" spans="1:10" ht="34" customHeight="1" x14ac:dyDescent="0.2">
      <c r="A44" s="2" t="s">
        <v>1344</v>
      </c>
      <c r="B44" s="2" t="s">
        <v>1325</v>
      </c>
      <c r="C44" s="2" t="s">
        <v>1345</v>
      </c>
      <c r="D44" s="6" t="s">
        <v>1346</v>
      </c>
      <c r="E44" s="2" t="s">
        <v>1328</v>
      </c>
      <c r="F44" s="2" t="s">
        <v>414</v>
      </c>
      <c r="G44" s="2" t="s">
        <v>1347</v>
      </c>
      <c r="H44" s="7">
        <v>46268</v>
      </c>
      <c r="I44" s="2" t="s">
        <v>1170</v>
      </c>
      <c r="J44" s="2" t="s">
        <v>1348</v>
      </c>
    </row>
    <row r="45" spans="1:10" ht="24" customHeight="1" x14ac:dyDescent="0.2">
      <c r="A45" s="2" t="s">
        <v>1349</v>
      </c>
      <c r="B45" s="2" t="s">
        <v>1325</v>
      </c>
      <c r="C45" s="2" t="s">
        <v>1350</v>
      </c>
      <c r="D45" s="6" t="s">
        <v>1351</v>
      </c>
      <c r="E45" s="2" t="s">
        <v>1342</v>
      </c>
      <c r="F45" s="7">
        <v>46255</v>
      </c>
      <c r="G45" s="7">
        <v>46255</v>
      </c>
      <c r="H45" s="7">
        <v>46268</v>
      </c>
      <c r="I45" s="2" t="s">
        <v>1170</v>
      </c>
      <c r="J45" s="2" t="s">
        <v>1352</v>
      </c>
    </row>
    <row r="46" spans="1:10" ht="24" customHeight="1" x14ac:dyDescent="0.2">
      <c r="A46" s="2" t="s">
        <v>1353</v>
      </c>
      <c r="B46" s="2" t="s">
        <v>1325</v>
      </c>
      <c r="C46" s="2" t="s">
        <v>1354</v>
      </c>
      <c r="D46" s="6" t="s">
        <v>1355</v>
      </c>
      <c r="E46" s="2" t="s">
        <v>1342</v>
      </c>
      <c r="F46" s="7">
        <v>46262</v>
      </c>
      <c r="G46" s="7">
        <v>46262</v>
      </c>
      <c r="H46" s="7">
        <v>46268</v>
      </c>
      <c r="I46" s="2" t="s">
        <v>1170</v>
      </c>
      <c r="J46" s="2" t="s">
        <v>1356</v>
      </c>
    </row>
    <row r="47" spans="1:10" ht="34" customHeight="1" x14ac:dyDescent="0.2">
      <c r="A47" s="2" t="s">
        <v>1357</v>
      </c>
      <c r="B47" s="2" t="s">
        <v>1325</v>
      </c>
      <c r="C47" s="2" t="s">
        <v>1358</v>
      </c>
      <c r="D47" s="6" t="s">
        <v>1359</v>
      </c>
      <c r="E47" s="2" t="s">
        <v>1328</v>
      </c>
      <c r="F47" s="7">
        <v>46244</v>
      </c>
      <c r="G47" s="7">
        <v>46261</v>
      </c>
      <c r="H47" s="7">
        <v>46268</v>
      </c>
      <c r="I47" s="2" t="s">
        <v>1170</v>
      </c>
      <c r="J47" s="2" t="s">
        <v>1360</v>
      </c>
    </row>
    <row r="48" spans="1:10" ht="34" customHeight="1" x14ac:dyDescent="0.2">
      <c r="A48" s="2" t="s">
        <v>1361</v>
      </c>
      <c r="B48" s="2" t="s">
        <v>1331</v>
      </c>
      <c r="C48" s="2" t="s">
        <v>1362</v>
      </c>
      <c r="D48" s="6" t="s">
        <v>1363</v>
      </c>
      <c r="E48" s="2" t="s">
        <v>1364</v>
      </c>
      <c r="F48" s="2" t="s">
        <v>414</v>
      </c>
      <c r="G48" s="2"/>
      <c r="H48" s="7">
        <v>46268</v>
      </c>
      <c r="I48" s="2" t="s">
        <v>1170</v>
      </c>
      <c r="J48" s="2" t="s">
        <v>1365</v>
      </c>
    </row>
    <row r="49" spans="1:10" ht="34" customHeight="1" x14ac:dyDescent="0.2">
      <c r="A49" s="2" t="s">
        <v>401</v>
      </c>
      <c r="B49" s="2" t="s">
        <v>1325</v>
      </c>
      <c r="C49" s="2" t="s">
        <v>1366</v>
      </c>
      <c r="D49" s="6" t="s">
        <v>402</v>
      </c>
      <c r="E49" s="2" t="s">
        <v>1328</v>
      </c>
      <c r="F49" s="7">
        <v>46232</v>
      </c>
      <c r="G49" s="7">
        <v>46254</v>
      </c>
      <c r="H49" s="7">
        <v>46268</v>
      </c>
      <c r="I49" s="2" t="s">
        <v>1170</v>
      </c>
      <c r="J49" s="2" t="s">
        <v>1367</v>
      </c>
    </row>
    <row r="50" spans="1:10" ht="34" customHeight="1" x14ac:dyDescent="0.2">
      <c r="A50" s="2" t="s">
        <v>415</v>
      </c>
      <c r="B50" s="2" t="s">
        <v>1325</v>
      </c>
      <c r="C50" s="2" t="s">
        <v>1368</v>
      </c>
      <c r="D50" s="6" t="s">
        <v>416</v>
      </c>
      <c r="E50" s="2" t="s">
        <v>1328</v>
      </c>
      <c r="F50" s="2" t="s">
        <v>414</v>
      </c>
      <c r="G50" s="7">
        <v>46254</v>
      </c>
      <c r="H50" s="7">
        <v>46268</v>
      </c>
      <c r="I50" s="2" t="s">
        <v>1170</v>
      </c>
      <c r="J50" s="2" t="s">
        <v>1367</v>
      </c>
    </row>
    <row r="51" spans="1:10" ht="62" customHeight="1" x14ac:dyDescent="0.2">
      <c r="A51" s="2" t="s">
        <v>432</v>
      </c>
      <c r="B51" s="2" t="s">
        <v>1369</v>
      </c>
      <c r="C51" s="2" t="s">
        <v>1370</v>
      </c>
      <c r="D51" s="6" t="s">
        <v>433</v>
      </c>
      <c r="E51" s="2" t="s">
        <v>1371</v>
      </c>
      <c r="F51" s="17" t="s">
        <v>428</v>
      </c>
      <c r="G51" s="2" t="s">
        <v>1372</v>
      </c>
      <c r="H51" s="7">
        <v>46268</v>
      </c>
      <c r="I51" s="2" t="s">
        <v>1170</v>
      </c>
      <c r="J51" s="17" t="s">
        <v>1373</v>
      </c>
    </row>
    <row r="52" spans="1:10" ht="34" customHeight="1" x14ac:dyDescent="0.2">
      <c r="A52" s="2" t="s">
        <v>1374</v>
      </c>
      <c r="B52" s="2" t="s">
        <v>445</v>
      </c>
      <c r="C52" s="2" t="s">
        <v>1375</v>
      </c>
      <c r="D52" s="6" t="s">
        <v>1376</v>
      </c>
      <c r="E52" s="2" t="s">
        <v>1377</v>
      </c>
      <c r="F52" s="7">
        <v>46261</v>
      </c>
      <c r="G52" s="7">
        <v>46261</v>
      </c>
      <c r="H52" s="7">
        <v>46268</v>
      </c>
      <c r="I52" s="2" t="s">
        <v>1170</v>
      </c>
      <c r="J52" s="2" t="s">
        <v>1378</v>
      </c>
    </row>
    <row r="53" spans="1:10" ht="34" customHeight="1" x14ac:dyDescent="0.2">
      <c r="A53" s="2" t="s">
        <v>1379</v>
      </c>
      <c r="B53" s="2" t="s">
        <v>445</v>
      </c>
      <c r="C53" s="2" t="s">
        <v>1380</v>
      </c>
      <c r="D53" s="6" t="s">
        <v>1381</v>
      </c>
      <c r="E53" s="2" t="s">
        <v>1377</v>
      </c>
      <c r="F53" s="2" t="s">
        <v>414</v>
      </c>
      <c r="G53" s="2"/>
      <c r="H53" s="7">
        <v>46268</v>
      </c>
      <c r="I53" s="2" t="s">
        <v>1170</v>
      </c>
      <c r="J53" s="2" t="s">
        <v>1382</v>
      </c>
    </row>
    <row r="54" spans="1:10" ht="34" customHeight="1" x14ac:dyDescent="0.2">
      <c r="A54" s="2" t="s">
        <v>463</v>
      </c>
      <c r="B54" s="2" t="s">
        <v>1325</v>
      </c>
      <c r="C54" s="2" t="s">
        <v>1383</v>
      </c>
      <c r="D54" s="6" t="s">
        <v>464</v>
      </c>
      <c r="E54" s="2" t="s">
        <v>1384</v>
      </c>
      <c r="F54" s="7">
        <v>46259</v>
      </c>
      <c r="G54" s="7">
        <v>46255</v>
      </c>
      <c r="H54" s="7">
        <v>46268</v>
      </c>
      <c r="I54" s="2" t="s">
        <v>1170</v>
      </c>
      <c r="J54" s="2" t="s">
        <v>1385</v>
      </c>
    </row>
    <row r="55" spans="1:10" ht="34" customHeight="1" x14ac:dyDescent="0.2">
      <c r="A55" s="2" t="s">
        <v>477</v>
      </c>
      <c r="B55" s="2" t="s">
        <v>1386</v>
      </c>
      <c r="C55" s="2" t="s">
        <v>1387</v>
      </c>
      <c r="D55" s="6" t="s">
        <v>478</v>
      </c>
      <c r="E55" s="2" t="s">
        <v>1221</v>
      </c>
      <c r="F55" s="7">
        <v>46255</v>
      </c>
      <c r="G55" s="7">
        <v>46255</v>
      </c>
      <c r="H55" s="7">
        <v>46268</v>
      </c>
      <c r="I55" s="2" t="s">
        <v>1170</v>
      </c>
      <c r="J55" s="2" t="s">
        <v>1388</v>
      </c>
    </row>
    <row r="56" spans="1:10" ht="48" customHeight="1" x14ac:dyDescent="0.2">
      <c r="A56" s="2" t="s">
        <v>933</v>
      </c>
      <c r="B56" s="2" t="s">
        <v>1177</v>
      </c>
      <c r="C56" s="2" t="s">
        <v>1389</v>
      </c>
      <c r="D56" s="6" t="s">
        <v>934</v>
      </c>
      <c r="E56" s="2" t="s">
        <v>1179</v>
      </c>
      <c r="F56" s="7">
        <v>46227</v>
      </c>
      <c r="G56" s="7">
        <v>46227</v>
      </c>
      <c r="H56" s="7">
        <v>46268</v>
      </c>
      <c r="I56" s="2" t="s">
        <v>1170</v>
      </c>
      <c r="J56" s="2" t="s">
        <v>1390</v>
      </c>
    </row>
    <row r="57" spans="1:10" ht="34" customHeight="1" x14ac:dyDescent="0.2">
      <c r="A57" s="2" t="s">
        <v>1391</v>
      </c>
      <c r="B57" s="2" t="s">
        <v>1392</v>
      </c>
      <c r="C57" s="2" t="s">
        <v>1393</v>
      </c>
      <c r="D57" s="6" t="s">
        <v>1394</v>
      </c>
      <c r="E57" s="2" t="s">
        <v>1395</v>
      </c>
      <c r="F57" s="7">
        <v>46232</v>
      </c>
      <c r="G57" s="7">
        <v>46227</v>
      </c>
      <c r="H57" s="7">
        <v>46268</v>
      </c>
      <c r="I57" s="2" t="s">
        <v>1170</v>
      </c>
      <c r="J57" s="2" t="s">
        <v>1396</v>
      </c>
    </row>
    <row r="58" spans="1:10" ht="34" customHeight="1" x14ac:dyDescent="0.2">
      <c r="A58" s="2" t="s">
        <v>1397</v>
      </c>
      <c r="B58" s="2" t="s">
        <v>1398</v>
      </c>
      <c r="C58" s="2" t="s">
        <v>1399</v>
      </c>
      <c r="D58" s="6" t="s">
        <v>1400</v>
      </c>
      <c r="E58" s="2" t="s">
        <v>1401</v>
      </c>
      <c r="F58" s="2" t="s">
        <v>414</v>
      </c>
      <c r="G58" s="2"/>
      <c r="H58" s="7">
        <v>46268</v>
      </c>
      <c r="I58" s="2" t="s">
        <v>1170</v>
      </c>
      <c r="J58" s="2" t="s">
        <v>1402</v>
      </c>
    </row>
    <row r="59" spans="1:10" ht="34" customHeight="1" x14ac:dyDescent="0.2">
      <c r="A59" s="2" t="s">
        <v>1403</v>
      </c>
      <c r="B59" s="2" t="s">
        <v>1404</v>
      </c>
      <c r="C59" s="2" t="s">
        <v>1405</v>
      </c>
      <c r="D59" s="6" t="s">
        <v>1406</v>
      </c>
      <c r="E59" s="2" t="s">
        <v>1407</v>
      </c>
      <c r="F59" s="7">
        <v>46263</v>
      </c>
      <c r="G59" s="2" t="s">
        <v>1408</v>
      </c>
      <c r="H59" s="7">
        <v>46268</v>
      </c>
      <c r="I59" s="2" t="s">
        <v>1170</v>
      </c>
      <c r="J59" s="2" t="s">
        <v>1409</v>
      </c>
    </row>
    <row r="60" spans="1:10" ht="34" customHeight="1" x14ac:dyDescent="0.2">
      <c r="A60" s="2" t="s">
        <v>1410</v>
      </c>
      <c r="B60" s="2" t="s">
        <v>353</v>
      </c>
      <c r="C60" s="2" t="s">
        <v>1411</v>
      </c>
      <c r="D60" s="6" t="s">
        <v>1412</v>
      </c>
      <c r="E60" s="2" t="s">
        <v>1413</v>
      </c>
      <c r="F60" s="7">
        <v>46263</v>
      </c>
      <c r="G60" s="7">
        <v>46263</v>
      </c>
      <c r="H60" s="7">
        <v>46268</v>
      </c>
      <c r="I60" s="2" t="s">
        <v>1170</v>
      </c>
      <c r="J60" s="2" t="s">
        <v>1414</v>
      </c>
    </row>
    <row r="61" spans="1:10" ht="24" customHeight="1" x14ac:dyDescent="0.2">
      <c r="A61" s="2" t="s">
        <v>1415</v>
      </c>
      <c r="B61" s="2" t="s">
        <v>1416</v>
      </c>
      <c r="C61" s="2" t="s">
        <v>1417</v>
      </c>
      <c r="D61" s="6" t="s">
        <v>1418</v>
      </c>
      <c r="E61" s="2" t="s">
        <v>1419</v>
      </c>
      <c r="F61" s="2" t="s">
        <v>1169</v>
      </c>
      <c r="G61" s="2" t="s">
        <v>414</v>
      </c>
      <c r="H61" s="7">
        <v>46268</v>
      </c>
      <c r="I61" s="2" t="s">
        <v>1170</v>
      </c>
      <c r="J61" s="2" t="s">
        <v>1420</v>
      </c>
    </row>
    <row r="62" spans="1:10" ht="34" customHeight="1" x14ac:dyDescent="0.2">
      <c r="A62" s="2" t="s">
        <v>529</v>
      </c>
      <c r="B62" s="2" t="s">
        <v>1421</v>
      </c>
      <c r="C62" s="2" t="s">
        <v>1422</v>
      </c>
      <c r="D62" s="6" t="s">
        <v>530</v>
      </c>
      <c r="E62" s="2" t="s">
        <v>1322</v>
      </c>
      <c r="F62" s="7">
        <v>46262</v>
      </c>
      <c r="G62" s="7">
        <v>46262</v>
      </c>
      <c r="H62" s="7">
        <v>46268</v>
      </c>
      <c r="I62" s="2" t="s">
        <v>1170</v>
      </c>
      <c r="J62" s="2" t="s">
        <v>1423</v>
      </c>
    </row>
    <row r="63" spans="1:10" ht="34" customHeight="1" x14ac:dyDescent="0.2">
      <c r="A63" s="2" t="s">
        <v>543</v>
      </c>
      <c r="B63" s="2" t="s">
        <v>1291</v>
      </c>
      <c r="C63" s="2" t="s">
        <v>1424</v>
      </c>
      <c r="D63" s="6" t="s">
        <v>544</v>
      </c>
      <c r="E63" s="2" t="s">
        <v>1293</v>
      </c>
      <c r="F63" s="7">
        <v>46262</v>
      </c>
      <c r="G63" s="7">
        <v>46261</v>
      </c>
      <c r="H63" s="7">
        <v>46268</v>
      </c>
      <c r="I63" s="2" t="s">
        <v>1170</v>
      </c>
      <c r="J63" s="2" t="s">
        <v>1425</v>
      </c>
    </row>
    <row r="64" spans="1:10" ht="34" customHeight="1" x14ac:dyDescent="0.2">
      <c r="A64" s="2" t="s">
        <v>562</v>
      </c>
      <c r="B64" s="2" t="s">
        <v>1316</v>
      </c>
      <c r="C64" s="2" t="s">
        <v>1426</v>
      </c>
      <c r="D64" s="6" t="s">
        <v>563</v>
      </c>
      <c r="E64" s="2" t="s">
        <v>1235</v>
      </c>
      <c r="F64" s="7">
        <v>46263</v>
      </c>
      <c r="G64" s="7">
        <v>46262</v>
      </c>
      <c r="H64" s="7">
        <v>46268</v>
      </c>
      <c r="I64" s="2" t="s">
        <v>1170</v>
      </c>
      <c r="J64" s="2" t="s">
        <v>1427</v>
      </c>
    </row>
    <row r="65" spans="1:10" ht="34" customHeight="1" x14ac:dyDescent="0.2">
      <c r="A65" s="2" t="s">
        <v>1428</v>
      </c>
      <c r="B65" s="2" t="s">
        <v>1421</v>
      </c>
      <c r="C65" s="2" t="s">
        <v>1429</v>
      </c>
      <c r="D65" s="6" t="s">
        <v>1430</v>
      </c>
      <c r="E65" s="2" t="s">
        <v>1322</v>
      </c>
      <c r="F65" s="7">
        <v>46264</v>
      </c>
      <c r="G65" s="7">
        <v>46264</v>
      </c>
      <c r="H65" s="7">
        <v>46268</v>
      </c>
      <c r="I65" s="2" t="s">
        <v>1170</v>
      </c>
      <c r="J65" s="2" t="s">
        <v>1431</v>
      </c>
    </row>
    <row r="66" spans="1:10" ht="34" customHeight="1" x14ac:dyDescent="0.2">
      <c r="A66" s="2" t="s">
        <v>1432</v>
      </c>
      <c r="B66" s="2" t="s">
        <v>1177</v>
      </c>
      <c r="C66" s="2" t="s">
        <v>1433</v>
      </c>
      <c r="D66" s="6" t="s">
        <v>1434</v>
      </c>
      <c r="E66" s="2" t="s">
        <v>1179</v>
      </c>
      <c r="F66" s="7">
        <v>46264</v>
      </c>
      <c r="G66" s="7">
        <v>46264</v>
      </c>
      <c r="H66" s="7">
        <v>46268</v>
      </c>
      <c r="I66" s="2" t="s">
        <v>1170</v>
      </c>
      <c r="J66" s="2" t="s">
        <v>1435</v>
      </c>
    </row>
    <row r="67" spans="1:10" ht="48" customHeight="1" x14ac:dyDescent="0.2">
      <c r="A67" s="2" t="s">
        <v>597</v>
      </c>
      <c r="B67" s="2" t="s">
        <v>1291</v>
      </c>
      <c r="C67" s="2" t="s">
        <v>1436</v>
      </c>
      <c r="D67" s="6" t="s">
        <v>598</v>
      </c>
      <c r="E67" s="2" t="s">
        <v>1293</v>
      </c>
      <c r="F67" s="7">
        <v>46265</v>
      </c>
      <c r="G67" s="7">
        <v>46262</v>
      </c>
      <c r="H67" s="7">
        <v>46268</v>
      </c>
      <c r="I67" s="2" t="s">
        <v>1170</v>
      </c>
      <c r="J67" s="2" t="s">
        <v>1437</v>
      </c>
    </row>
    <row r="68" spans="1:10" ht="34" customHeight="1" x14ac:dyDescent="0.2">
      <c r="A68" s="2" t="s">
        <v>613</v>
      </c>
      <c r="B68" s="2" t="s">
        <v>1421</v>
      </c>
      <c r="C68" s="2" t="s">
        <v>1438</v>
      </c>
      <c r="D68" s="6" t="s">
        <v>614</v>
      </c>
      <c r="E68" s="2" t="s">
        <v>1322</v>
      </c>
      <c r="F68" s="7">
        <v>46266</v>
      </c>
      <c r="G68" s="7">
        <v>46266</v>
      </c>
      <c r="H68" s="7">
        <v>46268</v>
      </c>
      <c r="I68" s="2" t="s">
        <v>1170</v>
      </c>
      <c r="J68" s="2" t="s">
        <v>1439</v>
      </c>
    </row>
    <row r="69" spans="1:10" ht="48" customHeight="1" x14ac:dyDescent="0.2">
      <c r="A69" s="2" t="s">
        <v>662</v>
      </c>
      <c r="B69" s="2" t="s">
        <v>1440</v>
      </c>
      <c r="C69" s="2" t="s">
        <v>1441</v>
      </c>
      <c r="D69" s="6" t="s">
        <v>663</v>
      </c>
      <c r="E69" s="2" t="s">
        <v>1442</v>
      </c>
      <c r="F69" s="7">
        <v>46266</v>
      </c>
      <c r="G69" s="7">
        <v>46266</v>
      </c>
      <c r="H69" s="7">
        <v>46268</v>
      </c>
      <c r="I69" s="2" t="s">
        <v>1170</v>
      </c>
      <c r="J69" s="2" t="s">
        <v>1443</v>
      </c>
    </row>
    <row r="70" spans="1:10" ht="34" customHeight="1" x14ac:dyDescent="0.2">
      <c r="A70" s="2" t="s">
        <v>677</v>
      </c>
      <c r="B70" s="2" t="s">
        <v>674</v>
      </c>
      <c r="C70" s="2" t="s">
        <v>1444</v>
      </c>
      <c r="D70" s="6" t="s">
        <v>678</v>
      </c>
      <c r="E70" s="2" t="s">
        <v>1293</v>
      </c>
      <c r="F70" s="7">
        <v>46267</v>
      </c>
      <c r="G70" s="7">
        <v>46267</v>
      </c>
      <c r="H70" s="7">
        <v>46268</v>
      </c>
      <c r="I70" s="2" t="s">
        <v>1170</v>
      </c>
      <c r="J70" s="2" t="s">
        <v>1445</v>
      </c>
    </row>
    <row r="71" spans="1:10" ht="62" customHeight="1" x14ac:dyDescent="0.2">
      <c r="A71" s="2" t="s">
        <v>1446</v>
      </c>
      <c r="B71" s="2" t="s">
        <v>1447</v>
      </c>
      <c r="C71" s="2" t="s">
        <v>1448</v>
      </c>
      <c r="D71" s="6" t="s">
        <v>1449</v>
      </c>
      <c r="E71" s="2" t="s">
        <v>1450</v>
      </c>
      <c r="F71" s="7">
        <v>46267</v>
      </c>
      <c r="G71" s="7">
        <v>46267</v>
      </c>
      <c r="H71" s="7">
        <v>46268</v>
      </c>
      <c r="I71" s="2" t="s">
        <v>1451</v>
      </c>
      <c r="J71" s="2" t="s">
        <v>1452</v>
      </c>
    </row>
    <row r="72" spans="1:10" ht="34" customHeight="1" x14ac:dyDescent="0.2">
      <c r="A72" s="2" t="s">
        <v>832</v>
      </c>
      <c r="B72" s="2" t="s">
        <v>1453</v>
      </c>
      <c r="C72" s="2" t="s">
        <v>1454</v>
      </c>
      <c r="D72" s="6" t="s">
        <v>833</v>
      </c>
      <c r="E72" s="2" t="s">
        <v>1455</v>
      </c>
      <c r="F72" s="7">
        <v>46198</v>
      </c>
      <c r="G72" s="2" t="s">
        <v>1456</v>
      </c>
      <c r="H72" s="7">
        <v>46268</v>
      </c>
      <c r="I72" s="2" t="s">
        <v>1170</v>
      </c>
      <c r="J72" s="2" t="s">
        <v>1457</v>
      </c>
    </row>
    <row r="73" spans="1:10" ht="34" customHeight="1" x14ac:dyDescent="0.2">
      <c r="A73" s="2" t="s">
        <v>847</v>
      </c>
      <c r="B73" s="2" t="s">
        <v>1325</v>
      </c>
      <c r="C73" s="2" t="s">
        <v>1458</v>
      </c>
      <c r="D73" s="6" t="s">
        <v>848</v>
      </c>
      <c r="E73" s="2" t="s">
        <v>1328</v>
      </c>
      <c r="F73" s="7">
        <v>46227</v>
      </c>
      <c r="G73" s="7">
        <v>46286</v>
      </c>
      <c r="H73" s="7">
        <v>46268</v>
      </c>
      <c r="I73" s="2" t="s">
        <v>1170</v>
      </c>
      <c r="J73" s="2" t="s">
        <v>1459</v>
      </c>
    </row>
    <row r="74" spans="1:10" ht="34" customHeight="1" x14ac:dyDescent="0.2">
      <c r="A74" s="2" t="s">
        <v>863</v>
      </c>
      <c r="B74" s="2" t="s">
        <v>860</v>
      </c>
      <c r="C74" s="2" t="s">
        <v>1460</v>
      </c>
      <c r="D74" s="6" t="s">
        <v>864</v>
      </c>
      <c r="E74" s="2" t="s">
        <v>1461</v>
      </c>
      <c r="F74" s="2" t="s">
        <v>1169</v>
      </c>
      <c r="G74" s="2"/>
      <c r="H74" s="7">
        <v>46268</v>
      </c>
      <c r="I74" s="2" t="s">
        <v>1170</v>
      </c>
      <c r="J74" s="2" t="s">
        <v>1462</v>
      </c>
    </row>
    <row r="75" spans="1:10" ht="34" customHeight="1" x14ac:dyDescent="0.2">
      <c r="A75" s="2" t="s">
        <v>877</v>
      </c>
      <c r="B75" s="2" t="s">
        <v>1463</v>
      </c>
      <c r="C75" s="2" t="s">
        <v>1464</v>
      </c>
      <c r="D75" s="6" t="s">
        <v>878</v>
      </c>
      <c r="E75" s="2" t="s">
        <v>1465</v>
      </c>
      <c r="F75" s="2" t="s">
        <v>414</v>
      </c>
      <c r="G75" s="7">
        <v>46205</v>
      </c>
      <c r="H75" s="7">
        <v>46268</v>
      </c>
      <c r="I75" s="2" t="s">
        <v>1170</v>
      </c>
      <c r="J75" s="2" t="s">
        <v>1466</v>
      </c>
    </row>
    <row r="76" spans="1:10" ht="34" customHeight="1" x14ac:dyDescent="0.2">
      <c r="A76" s="2" t="s">
        <v>903</v>
      </c>
      <c r="B76" s="2" t="s">
        <v>1463</v>
      </c>
      <c r="C76" s="2" t="s">
        <v>1467</v>
      </c>
      <c r="D76" s="6" t="s">
        <v>904</v>
      </c>
      <c r="E76" s="2" t="s">
        <v>1465</v>
      </c>
      <c r="F76" s="2" t="s">
        <v>414</v>
      </c>
      <c r="G76" s="7">
        <v>46204</v>
      </c>
      <c r="H76" s="7">
        <v>46268</v>
      </c>
      <c r="I76" s="2" t="s">
        <v>1170</v>
      </c>
      <c r="J76" s="2" t="s">
        <v>1468</v>
      </c>
    </row>
    <row r="77" spans="1:10" ht="34" customHeight="1" x14ac:dyDescent="0.2">
      <c r="A77" s="2" t="s">
        <v>916</v>
      </c>
      <c r="B77" s="2" t="s">
        <v>1469</v>
      </c>
      <c r="C77" s="2" t="s">
        <v>1470</v>
      </c>
      <c r="D77" s="6" t="s">
        <v>917</v>
      </c>
      <c r="E77" s="2" t="s">
        <v>1471</v>
      </c>
      <c r="F77" s="7">
        <v>46076</v>
      </c>
      <c r="G77" s="2"/>
      <c r="H77" s="7">
        <v>46268</v>
      </c>
      <c r="I77" s="2" t="s">
        <v>1170</v>
      </c>
      <c r="J77" s="2" t="s">
        <v>1472</v>
      </c>
    </row>
    <row r="78" spans="1:10" ht="34" customHeight="1" x14ac:dyDescent="0.2">
      <c r="A78" s="2" t="s">
        <v>1473</v>
      </c>
      <c r="B78" s="2" t="s">
        <v>1386</v>
      </c>
      <c r="C78" s="2" t="s">
        <v>1474</v>
      </c>
      <c r="D78" s="6" t="s">
        <v>1475</v>
      </c>
      <c r="E78" s="2" t="s">
        <v>1221</v>
      </c>
      <c r="F78" s="7">
        <v>46252</v>
      </c>
      <c r="G78" s="7">
        <v>46252</v>
      </c>
      <c r="H78" s="7">
        <v>46268</v>
      </c>
      <c r="I78" s="2" t="s">
        <v>1170</v>
      </c>
      <c r="J78" s="2" t="s">
        <v>1476</v>
      </c>
    </row>
    <row r="79" spans="1:10" ht="34" customHeight="1" x14ac:dyDescent="0.2">
      <c r="A79" s="2" t="s">
        <v>1477</v>
      </c>
      <c r="B79" s="2" t="s">
        <v>1209</v>
      </c>
      <c r="C79" s="2" t="s">
        <v>1478</v>
      </c>
      <c r="D79" s="6" t="s">
        <v>1479</v>
      </c>
      <c r="E79" s="2" t="s">
        <v>1206</v>
      </c>
      <c r="F79" s="7">
        <v>46266</v>
      </c>
      <c r="G79" s="7">
        <v>46252</v>
      </c>
      <c r="H79" s="7">
        <v>46268</v>
      </c>
      <c r="I79" s="2" t="s">
        <v>1170</v>
      </c>
      <c r="J79" s="2" t="s">
        <v>1480</v>
      </c>
    </row>
    <row r="80" spans="1:10" ht="34" customHeight="1" x14ac:dyDescent="0.2">
      <c r="A80" s="2" t="s">
        <v>1481</v>
      </c>
      <c r="B80" s="2" t="s">
        <v>1233</v>
      </c>
      <c r="C80" s="2" t="s">
        <v>1482</v>
      </c>
      <c r="D80" s="6" t="s">
        <v>1483</v>
      </c>
      <c r="E80" s="2" t="s">
        <v>1235</v>
      </c>
      <c r="F80" s="7">
        <v>46252</v>
      </c>
      <c r="G80" s="7">
        <v>46252</v>
      </c>
      <c r="H80" s="7">
        <v>46268</v>
      </c>
      <c r="I80" s="2" t="s">
        <v>1170</v>
      </c>
      <c r="J80" s="2" t="s">
        <v>1484</v>
      </c>
    </row>
    <row r="81" spans="1:10" ht="24" customHeight="1" x14ac:dyDescent="0.2">
      <c r="A81" s="2" t="s">
        <v>148</v>
      </c>
      <c r="B81" s="2" t="s">
        <v>1386</v>
      </c>
      <c r="C81" s="2" t="s">
        <v>1485</v>
      </c>
      <c r="D81" s="6" t="s">
        <v>149</v>
      </c>
      <c r="E81" s="2" t="s">
        <v>1221</v>
      </c>
      <c r="F81" s="7">
        <v>46255</v>
      </c>
      <c r="G81" s="7">
        <v>46255</v>
      </c>
      <c r="H81" s="7">
        <v>46268</v>
      </c>
      <c r="I81" s="2" t="s">
        <v>1170</v>
      </c>
      <c r="J81" s="2" t="s">
        <v>1486</v>
      </c>
    </row>
    <row r="82" spans="1:10" ht="34" customHeight="1" x14ac:dyDescent="0.2">
      <c r="A82" s="2" t="s">
        <v>1487</v>
      </c>
      <c r="B82" s="2" t="s">
        <v>1218</v>
      </c>
      <c r="C82" s="2" t="s">
        <v>1488</v>
      </c>
      <c r="D82" s="6" t="s">
        <v>1489</v>
      </c>
      <c r="E82" s="2" t="s">
        <v>1221</v>
      </c>
      <c r="F82" s="7">
        <v>46258</v>
      </c>
      <c r="G82" s="7">
        <v>46255</v>
      </c>
      <c r="H82" s="7">
        <v>46268</v>
      </c>
      <c r="I82" s="2" t="s">
        <v>1170</v>
      </c>
      <c r="J82" s="2" t="s">
        <v>1490</v>
      </c>
    </row>
    <row r="83" spans="1:10" ht="34" customHeight="1" x14ac:dyDescent="0.2">
      <c r="A83" s="2" t="s">
        <v>1491</v>
      </c>
      <c r="B83" s="2" t="s">
        <v>1386</v>
      </c>
      <c r="C83" s="2" t="s">
        <v>1492</v>
      </c>
      <c r="D83" s="6" t="s">
        <v>1493</v>
      </c>
      <c r="E83" s="2" t="s">
        <v>1221</v>
      </c>
      <c r="F83" s="7">
        <v>46253</v>
      </c>
      <c r="G83" s="7">
        <v>46253</v>
      </c>
      <c r="H83" s="7">
        <v>46268</v>
      </c>
      <c r="I83" s="2" t="s">
        <v>1170</v>
      </c>
      <c r="J83" s="2" t="s">
        <v>1494</v>
      </c>
    </row>
    <row r="84" spans="1:10" ht="34" customHeight="1" x14ac:dyDescent="0.2">
      <c r="A84" s="2" t="s">
        <v>951</v>
      </c>
      <c r="B84" s="2" t="s">
        <v>1495</v>
      </c>
      <c r="C84" s="2" t="s">
        <v>1496</v>
      </c>
      <c r="D84" s="6" t="s">
        <v>952</v>
      </c>
      <c r="E84" s="2" t="s">
        <v>1497</v>
      </c>
      <c r="F84" s="2" t="s">
        <v>1169</v>
      </c>
      <c r="G84" s="2" t="s">
        <v>1498</v>
      </c>
      <c r="H84" s="7">
        <v>46268</v>
      </c>
      <c r="I84" s="2" t="s">
        <v>1170</v>
      </c>
      <c r="J84" s="2" t="s">
        <v>1499</v>
      </c>
    </row>
    <row r="85" spans="1:10" ht="34" customHeight="1" x14ac:dyDescent="0.2">
      <c r="A85" s="2" t="s">
        <v>1500</v>
      </c>
      <c r="B85" s="2" t="s">
        <v>1501</v>
      </c>
      <c r="C85" s="2" t="s">
        <v>1502</v>
      </c>
      <c r="D85" s="6" t="s">
        <v>1503</v>
      </c>
      <c r="E85" s="2" t="s">
        <v>1504</v>
      </c>
      <c r="F85" s="2" t="s">
        <v>1169</v>
      </c>
      <c r="G85" s="2"/>
      <c r="H85" s="7">
        <v>46268</v>
      </c>
      <c r="I85" s="2" t="s">
        <v>1170</v>
      </c>
      <c r="J85" s="2" t="s">
        <v>1505</v>
      </c>
    </row>
    <row r="86" spans="1:10" ht="24" customHeight="1" x14ac:dyDescent="0.2">
      <c r="A86" s="2" t="s">
        <v>1506</v>
      </c>
      <c r="B86" s="2" t="s">
        <v>1507</v>
      </c>
      <c r="C86" s="2" t="s">
        <v>1508</v>
      </c>
      <c r="D86" s="6" t="s">
        <v>1509</v>
      </c>
      <c r="E86" s="2" t="s">
        <v>1504</v>
      </c>
      <c r="F86" s="2" t="s">
        <v>1169</v>
      </c>
      <c r="G86" s="2"/>
      <c r="H86" s="7">
        <v>46268</v>
      </c>
      <c r="I86" s="2" t="s">
        <v>1170</v>
      </c>
      <c r="J86" s="2" t="s">
        <v>1510</v>
      </c>
    </row>
    <row r="87" spans="1:10" ht="24" customHeight="1" x14ac:dyDescent="0.2">
      <c r="A87" s="2" t="s">
        <v>1511</v>
      </c>
      <c r="B87" s="2" t="s">
        <v>1512</v>
      </c>
      <c r="C87" s="2" t="s">
        <v>1513</v>
      </c>
      <c r="D87" s="6" t="s">
        <v>1514</v>
      </c>
      <c r="E87" s="2" t="s">
        <v>1504</v>
      </c>
      <c r="F87" s="2" t="s">
        <v>1169</v>
      </c>
      <c r="G87" s="2"/>
      <c r="H87" s="7">
        <v>46268</v>
      </c>
      <c r="I87" s="2" t="s">
        <v>1170</v>
      </c>
      <c r="J87" s="2" t="s">
        <v>1515</v>
      </c>
    </row>
    <row r="88" spans="1:10" ht="34" customHeight="1" x14ac:dyDescent="0.2">
      <c r="A88" s="2" t="s">
        <v>1516</v>
      </c>
      <c r="B88" s="2" t="s">
        <v>1517</v>
      </c>
      <c r="C88" s="2" t="s">
        <v>1518</v>
      </c>
      <c r="D88" s="6" t="s">
        <v>1519</v>
      </c>
      <c r="E88" s="2" t="s">
        <v>1520</v>
      </c>
      <c r="F88" s="2" t="s">
        <v>1169</v>
      </c>
      <c r="G88" s="2"/>
      <c r="H88" s="7">
        <v>46268</v>
      </c>
      <c r="I88" s="2" t="s">
        <v>1170</v>
      </c>
      <c r="J88" s="2" t="s">
        <v>1521</v>
      </c>
    </row>
    <row r="89" spans="1:10" ht="24" customHeight="1" x14ac:dyDescent="0.2">
      <c r="A89" s="2" t="s">
        <v>1522</v>
      </c>
      <c r="B89" s="2" t="s">
        <v>1189</v>
      </c>
      <c r="C89" s="2" t="s">
        <v>1523</v>
      </c>
      <c r="D89" s="6" t="s">
        <v>1524</v>
      </c>
      <c r="E89" s="2" t="s">
        <v>1182</v>
      </c>
      <c r="F89" s="2" t="s">
        <v>1169</v>
      </c>
      <c r="G89" s="2"/>
      <c r="H89" s="7">
        <v>46268</v>
      </c>
      <c r="I89" s="2" t="s">
        <v>1170</v>
      </c>
      <c r="J89" s="2" t="s">
        <v>1525</v>
      </c>
    </row>
    <row r="90" spans="1:10" ht="34" customHeight="1" x14ac:dyDescent="0.2">
      <c r="A90" s="2" t="s">
        <v>494</v>
      </c>
      <c r="B90" s="2" t="s">
        <v>929</v>
      </c>
      <c r="C90" s="2" t="s">
        <v>1526</v>
      </c>
      <c r="D90" s="6" t="s">
        <v>495</v>
      </c>
      <c r="E90" s="2" t="s">
        <v>1527</v>
      </c>
      <c r="F90" s="7">
        <v>46261</v>
      </c>
      <c r="G90" s="2" t="s">
        <v>1528</v>
      </c>
      <c r="H90" s="7">
        <v>46268</v>
      </c>
      <c r="I90" s="2" t="s">
        <v>1170</v>
      </c>
      <c r="J90" s="2" t="s">
        <v>1529</v>
      </c>
    </row>
    <row r="91" spans="1:10" ht="34" customHeight="1" x14ac:dyDescent="0.2">
      <c r="A91" s="2" t="s">
        <v>1530</v>
      </c>
      <c r="B91" s="2" t="s">
        <v>1531</v>
      </c>
      <c r="C91" s="2" t="s">
        <v>1532</v>
      </c>
      <c r="D91" s="6" t="s">
        <v>1533</v>
      </c>
      <c r="E91" s="2" t="s">
        <v>1534</v>
      </c>
      <c r="F91" s="7">
        <v>46261</v>
      </c>
      <c r="G91" s="2" t="s">
        <v>1528</v>
      </c>
      <c r="H91" s="7">
        <v>46268</v>
      </c>
      <c r="I91" s="2" t="s">
        <v>1170</v>
      </c>
      <c r="J91" s="2" t="s">
        <v>1535</v>
      </c>
    </row>
    <row r="92" spans="1:10" ht="34" customHeight="1" x14ac:dyDescent="0.2">
      <c r="A92" s="2" t="s">
        <v>1536</v>
      </c>
      <c r="B92" s="2" t="s">
        <v>1537</v>
      </c>
      <c r="C92" s="2" t="s">
        <v>1411</v>
      </c>
      <c r="D92" s="6" t="s">
        <v>1538</v>
      </c>
      <c r="E92" s="2" t="s">
        <v>1221</v>
      </c>
      <c r="F92" s="7">
        <v>46263</v>
      </c>
      <c r="G92" s="7">
        <v>46263</v>
      </c>
      <c r="H92" s="7">
        <v>46268</v>
      </c>
      <c r="I92" s="2" t="s">
        <v>1170</v>
      </c>
      <c r="J92" s="2" t="s">
        <v>1539</v>
      </c>
    </row>
    <row r="93" spans="1:10" ht="34" customHeight="1" x14ac:dyDescent="0.2">
      <c r="A93" s="2" t="s">
        <v>1540</v>
      </c>
      <c r="B93" s="2" t="s">
        <v>1541</v>
      </c>
      <c r="C93" s="2" t="s">
        <v>1542</v>
      </c>
      <c r="D93" s="6" t="s">
        <v>1543</v>
      </c>
      <c r="E93" s="2" t="s">
        <v>1465</v>
      </c>
      <c r="F93" s="2" t="s">
        <v>1544</v>
      </c>
      <c r="G93" s="2"/>
      <c r="H93" s="7">
        <v>46268</v>
      </c>
      <c r="I93" s="2" t="s">
        <v>1170</v>
      </c>
      <c r="J93" s="2" t="s">
        <v>1545</v>
      </c>
    </row>
    <row r="94" spans="1:10" ht="34" customHeight="1" x14ac:dyDescent="0.2">
      <c r="A94" s="2" t="s">
        <v>1546</v>
      </c>
      <c r="B94" s="2" t="s">
        <v>1537</v>
      </c>
      <c r="C94" s="2" t="s">
        <v>1547</v>
      </c>
      <c r="D94" s="6" t="s">
        <v>1548</v>
      </c>
      <c r="E94" s="2" t="s">
        <v>1221</v>
      </c>
      <c r="F94" s="2" t="s">
        <v>414</v>
      </c>
      <c r="G94" s="2"/>
      <c r="H94" s="7">
        <v>46268</v>
      </c>
      <c r="I94" s="2" t="s">
        <v>1170</v>
      </c>
      <c r="J94" s="2" t="s">
        <v>1549</v>
      </c>
    </row>
    <row r="95" spans="1:10" ht="34" customHeight="1" x14ac:dyDescent="0.2">
      <c r="A95" s="2" t="s">
        <v>545</v>
      </c>
      <c r="B95" s="2" t="s">
        <v>1288</v>
      </c>
      <c r="C95" s="2" t="s">
        <v>1550</v>
      </c>
      <c r="D95" s="6" t="s">
        <v>546</v>
      </c>
      <c r="E95" s="2" t="s">
        <v>1235</v>
      </c>
      <c r="F95" s="7">
        <v>46262</v>
      </c>
      <c r="G95" s="7">
        <v>46261</v>
      </c>
      <c r="H95" s="7">
        <v>46268</v>
      </c>
      <c r="I95" s="2" t="s">
        <v>1170</v>
      </c>
      <c r="J95" s="2" t="s">
        <v>1551</v>
      </c>
    </row>
    <row r="96" spans="1:10" ht="34" customHeight="1" x14ac:dyDescent="0.2">
      <c r="A96" s="2" t="s">
        <v>560</v>
      </c>
      <c r="B96" s="2" t="s">
        <v>1552</v>
      </c>
      <c r="C96" s="2" t="s">
        <v>1553</v>
      </c>
      <c r="D96" s="6" t="s">
        <v>561</v>
      </c>
      <c r="E96" s="2" t="s">
        <v>1322</v>
      </c>
      <c r="F96" s="7">
        <v>46262</v>
      </c>
      <c r="G96" s="7">
        <v>46262</v>
      </c>
      <c r="H96" s="7">
        <v>46268</v>
      </c>
      <c r="I96" s="2" t="s">
        <v>1170</v>
      </c>
      <c r="J96" s="2" t="s">
        <v>1554</v>
      </c>
    </row>
    <row r="97" spans="1:10" ht="34" customHeight="1" x14ac:dyDescent="0.2">
      <c r="A97" s="2" t="s">
        <v>1555</v>
      </c>
      <c r="B97" s="2" t="s">
        <v>1288</v>
      </c>
      <c r="C97" s="2" t="s">
        <v>1556</v>
      </c>
      <c r="D97" s="6" t="s">
        <v>1557</v>
      </c>
      <c r="E97" s="2" t="s">
        <v>1235</v>
      </c>
      <c r="F97" s="7">
        <v>46265</v>
      </c>
      <c r="G97" s="7">
        <v>46264</v>
      </c>
      <c r="H97" s="7">
        <v>46268</v>
      </c>
      <c r="I97" s="2" t="s">
        <v>1170</v>
      </c>
      <c r="J97" s="2" t="s">
        <v>1558</v>
      </c>
    </row>
    <row r="98" spans="1:10" ht="34" customHeight="1" x14ac:dyDescent="0.2">
      <c r="A98" s="2" t="s">
        <v>1559</v>
      </c>
      <c r="B98" s="2" t="s">
        <v>1177</v>
      </c>
      <c r="C98" s="2" t="s">
        <v>1560</v>
      </c>
      <c r="D98" s="6" t="s">
        <v>1561</v>
      </c>
      <c r="E98" s="2" t="s">
        <v>1179</v>
      </c>
      <c r="F98" s="7">
        <v>46166</v>
      </c>
      <c r="G98" s="7">
        <v>46166</v>
      </c>
      <c r="H98" s="7">
        <v>46268</v>
      </c>
      <c r="I98" s="2" t="s">
        <v>1170</v>
      </c>
      <c r="J98" s="2" t="s">
        <v>1562</v>
      </c>
    </row>
    <row r="99" spans="1:10" ht="34" customHeight="1" x14ac:dyDescent="0.2">
      <c r="A99" s="2" t="s">
        <v>599</v>
      </c>
      <c r="B99" s="2" t="s">
        <v>1316</v>
      </c>
      <c r="C99" s="2" t="s">
        <v>1563</v>
      </c>
      <c r="D99" s="6" t="s">
        <v>600</v>
      </c>
      <c r="E99" s="2" t="s">
        <v>1235</v>
      </c>
      <c r="F99" s="7">
        <v>46265</v>
      </c>
      <c r="G99" s="7">
        <v>46262</v>
      </c>
      <c r="H99" s="7">
        <v>46268</v>
      </c>
      <c r="I99" s="2" t="s">
        <v>1170</v>
      </c>
      <c r="J99" s="2" t="s">
        <v>1564</v>
      </c>
    </row>
    <row r="100" spans="1:10" ht="34" customHeight="1" x14ac:dyDescent="0.2">
      <c r="A100" s="2" t="s">
        <v>628</v>
      </c>
      <c r="B100" s="2" t="s">
        <v>1565</v>
      </c>
      <c r="C100" s="2" t="s">
        <v>1566</v>
      </c>
      <c r="D100" s="6" t="s">
        <v>629</v>
      </c>
      <c r="E100" s="2" t="s">
        <v>1567</v>
      </c>
      <c r="F100" s="7">
        <v>46266</v>
      </c>
      <c r="G100" s="7">
        <v>46266</v>
      </c>
      <c r="H100" s="7">
        <v>46268</v>
      </c>
      <c r="I100" s="2" t="s">
        <v>1170</v>
      </c>
      <c r="J100" s="2" t="s">
        <v>1568</v>
      </c>
    </row>
    <row r="101" spans="1:10" ht="34" customHeight="1" x14ac:dyDescent="0.2">
      <c r="A101" s="2" t="s">
        <v>1569</v>
      </c>
      <c r="B101" s="2" t="s">
        <v>1177</v>
      </c>
      <c r="C101" s="2" t="s">
        <v>1570</v>
      </c>
      <c r="D101" s="6" t="s">
        <v>1571</v>
      </c>
      <c r="E101" s="2" t="s">
        <v>1179</v>
      </c>
      <c r="F101" s="7">
        <v>46267</v>
      </c>
      <c r="G101" s="7">
        <v>46266</v>
      </c>
      <c r="H101" s="7">
        <v>46268</v>
      </c>
      <c r="I101" s="2" t="s">
        <v>1170</v>
      </c>
      <c r="J101" s="2" t="s">
        <v>1572</v>
      </c>
    </row>
    <row r="102" spans="1:10" ht="34" customHeight="1" x14ac:dyDescent="0.2">
      <c r="A102" s="2" t="s">
        <v>1573</v>
      </c>
      <c r="B102" s="2" t="s">
        <v>1552</v>
      </c>
      <c r="C102" s="2" t="s">
        <v>1574</v>
      </c>
      <c r="D102" s="6" t="s">
        <v>1575</v>
      </c>
      <c r="E102" s="2" t="s">
        <v>1322</v>
      </c>
      <c r="F102" s="7">
        <v>46267</v>
      </c>
      <c r="G102" s="7">
        <v>46266</v>
      </c>
      <c r="H102" s="7">
        <v>46268</v>
      </c>
      <c r="I102" s="2" t="s">
        <v>1170</v>
      </c>
      <c r="J102" s="2" t="s">
        <v>1576</v>
      </c>
    </row>
    <row r="103" spans="1:10" ht="34" customHeight="1" x14ac:dyDescent="0.2">
      <c r="A103" s="2" t="s">
        <v>660</v>
      </c>
      <c r="B103" s="2" t="s">
        <v>353</v>
      </c>
      <c r="C103" s="2" t="s">
        <v>1577</v>
      </c>
      <c r="D103" s="6" t="s">
        <v>661</v>
      </c>
      <c r="E103" s="2" t="s">
        <v>1413</v>
      </c>
      <c r="F103" s="7">
        <v>46266</v>
      </c>
      <c r="G103" s="7">
        <v>46266</v>
      </c>
      <c r="H103" s="7">
        <v>46268</v>
      </c>
      <c r="I103" s="2" t="s">
        <v>1170</v>
      </c>
      <c r="J103" s="2" t="s">
        <v>1578</v>
      </c>
    </row>
    <row r="104" spans="1:10" ht="34" customHeight="1" x14ac:dyDescent="0.2">
      <c r="A104" s="2" t="s">
        <v>1579</v>
      </c>
      <c r="B104" s="2" t="s">
        <v>1552</v>
      </c>
      <c r="C104" s="2" t="s">
        <v>1580</v>
      </c>
      <c r="D104" s="6" t="s">
        <v>1581</v>
      </c>
      <c r="E104" s="2" t="s">
        <v>1322</v>
      </c>
      <c r="F104" s="7">
        <v>46267</v>
      </c>
      <c r="G104" s="7">
        <v>46267</v>
      </c>
      <c r="H104" s="7">
        <v>46268</v>
      </c>
      <c r="I104" s="2" t="s">
        <v>1170</v>
      </c>
      <c r="J104" s="2" t="s">
        <v>1582</v>
      </c>
    </row>
    <row r="105" spans="1:10" ht="34" customHeight="1" x14ac:dyDescent="0.2">
      <c r="A105" s="2" t="s">
        <v>1583</v>
      </c>
      <c r="B105" s="2" t="s">
        <v>1296</v>
      </c>
      <c r="C105" s="2" t="s">
        <v>1584</v>
      </c>
      <c r="D105" s="6" t="s">
        <v>1585</v>
      </c>
      <c r="E105" s="2" t="s">
        <v>1586</v>
      </c>
      <c r="F105" s="7">
        <v>46261</v>
      </c>
      <c r="G105" s="2" t="s">
        <v>1587</v>
      </c>
      <c r="H105" s="7">
        <v>46268</v>
      </c>
      <c r="I105" s="2" t="s">
        <v>1170</v>
      </c>
      <c r="J105" s="2" t="s">
        <v>1588</v>
      </c>
    </row>
    <row r="106" spans="1:10" ht="34" customHeight="1" x14ac:dyDescent="0.2">
      <c r="A106" s="2" t="s">
        <v>1589</v>
      </c>
      <c r="B106" s="2" t="s">
        <v>1296</v>
      </c>
      <c r="C106" s="2" t="s">
        <v>1590</v>
      </c>
      <c r="D106" s="6" t="s">
        <v>1591</v>
      </c>
      <c r="E106" s="2" t="s">
        <v>1244</v>
      </c>
      <c r="F106" s="2" t="s">
        <v>1169</v>
      </c>
      <c r="G106" s="2" t="s">
        <v>1587</v>
      </c>
      <c r="H106" s="7">
        <v>46268</v>
      </c>
      <c r="I106" s="2" t="s">
        <v>1170</v>
      </c>
      <c r="J106" s="2" t="s">
        <v>1592</v>
      </c>
    </row>
    <row r="107" spans="1:10" ht="34" customHeight="1" x14ac:dyDescent="0.2">
      <c r="A107" s="2" t="s">
        <v>1593</v>
      </c>
      <c r="B107" s="2" t="s">
        <v>1233</v>
      </c>
      <c r="C107" s="2" t="s">
        <v>1594</v>
      </c>
      <c r="D107" s="6" t="s">
        <v>1595</v>
      </c>
      <c r="E107" s="2" t="s">
        <v>1235</v>
      </c>
      <c r="F107" s="7">
        <v>46262</v>
      </c>
      <c r="G107" s="7">
        <v>46259</v>
      </c>
      <c r="H107" s="7">
        <v>46268</v>
      </c>
      <c r="I107" s="2" t="s">
        <v>1170</v>
      </c>
      <c r="J107" s="2" t="s">
        <v>1596</v>
      </c>
    </row>
    <row r="108" spans="1:10" ht="24" customHeight="1" x14ac:dyDescent="0.2">
      <c r="A108" s="2" t="s">
        <v>1597</v>
      </c>
      <c r="B108" s="2" t="s">
        <v>1316</v>
      </c>
      <c r="C108" s="2" t="s">
        <v>1598</v>
      </c>
      <c r="D108" s="6" t="s">
        <v>1599</v>
      </c>
      <c r="E108" s="2" t="s">
        <v>1235</v>
      </c>
      <c r="F108" s="7">
        <v>46262</v>
      </c>
      <c r="G108" s="7">
        <v>46259</v>
      </c>
      <c r="H108" s="7">
        <v>46268</v>
      </c>
      <c r="I108" s="2" t="s">
        <v>1170</v>
      </c>
      <c r="J108" s="2" t="s">
        <v>1236</v>
      </c>
    </row>
    <row r="109" spans="1:10" ht="34" customHeight="1" x14ac:dyDescent="0.2">
      <c r="A109" s="2" t="s">
        <v>1600</v>
      </c>
      <c r="B109" s="2" t="s">
        <v>1537</v>
      </c>
      <c r="C109" s="2" t="s">
        <v>1601</v>
      </c>
      <c r="D109" s="6" t="s">
        <v>1602</v>
      </c>
      <c r="E109" s="2" t="s">
        <v>1221</v>
      </c>
      <c r="F109" s="7">
        <v>46198</v>
      </c>
      <c r="G109" s="2" t="s">
        <v>1603</v>
      </c>
      <c r="H109" s="7">
        <v>46268</v>
      </c>
      <c r="I109" s="2" t="s">
        <v>1170</v>
      </c>
      <c r="J109" s="2" t="s">
        <v>1604</v>
      </c>
    </row>
    <row r="110" spans="1:10" ht="34" customHeight="1" x14ac:dyDescent="0.2">
      <c r="A110" s="2" t="s">
        <v>1605</v>
      </c>
      <c r="B110" s="2" t="s">
        <v>1606</v>
      </c>
      <c r="C110" s="2" t="s">
        <v>1607</v>
      </c>
      <c r="D110" s="6" t="s">
        <v>1608</v>
      </c>
      <c r="E110" s="2" t="s">
        <v>1609</v>
      </c>
      <c r="F110" s="2" t="s">
        <v>1610</v>
      </c>
      <c r="G110" s="7">
        <v>46191</v>
      </c>
      <c r="H110" s="7">
        <v>46268</v>
      </c>
      <c r="I110" s="2" t="s">
        <v>1170</v>
      </c>
      <c r="J110" s="2" t="s">
        <v>1611</v>
      </c>
    </row>
    <row r="111" spans="1:10" ht="48" customHeight="1" x14ac:dyDescent="0.2">
      <c r="A111" s="2" t="s">
        <v>1612</v>
      </c>
      <c r="B111" s="2" t="s">
        <v>1606</v>
      </c>
      <c r="C111" s="2" t="s">
        <v>1613</v>
      </c>
      <c r="D111" s="6" t="s">
        <v>1614</v>
      </c>
      <c r="E111" s="2" t="s">
        <v>1615</v>
      </c>
      <c r="F111" s="2" t="s">
        <v>414</v>
      </c>
      <c r="G111" s="7">
        <v>46191</v>
      </c>
      <c r="H111" s="7">
        <v>46268</v>
      </c>
      <c r="I111" s="2" t="s">
        <v>1170</v>
      </c>
      <c r="J111" s="2" t="s">
        <v>1616</v>
      </c>
    </row>
    <row r="112" spans="1:10" ht="24" customHeight="1" x14ac:dyDescent="0.2">
      <c r="A112" s="2" t="s">
        <v>1617</v>
      </c>
      <c r="B112" s="2" t="s">
        <v>1606</v>
      </c>
      <c r="C112" s="2" t="s">
        <v>1618</v>
      </c>
      <c r="D112" s="6" t="s">
        <v>1619</v>
      </c>
      <c r="E112" s="2" t="s">
        <v>1620</v>
      </c>
      <c r="F112" s="2" t="s">
        <v>414</v>
      </c>
      <c r="G112" s="2"/>
      <c r="H112" s="7">
        <v>46268</v>
      </c>
      <c r="I112" s="2" t="s">
        <v>1170</v>
      </c>
      <c r="J112" s="2" t="s">
        <v>1621</v>
      </c>
    </row>
    <row r="113" spans="1:10" ht="34" customHeight="1" x14ac:dyDescent="0.2">
      <c r="A113" s="2" t="s">
        <v>645</v>
      </c>
      <c r="B113" s="2" t="s">
        <v>1552</v>
      </c>
      <c r="C113" s="2" t="s">
        <v>1622</v>
      </c>
      <c r="D113" s="6" t="s">
        <v>646</v>
      </c>
      <c r="E113" s="2" t="s">
        <v>1322</v>
      </c>
      <c r="F113" s="7">
        <v>46266</v>
      </c>
      <c r="G113" s="7">
        <v>46266</v>
      </c>
      <c r="H113" s="7">
        <v>46268</v>
      </c>
      <c r="I113" s="2" t="s">
        <v>1170</v>
      </c>
      <c r="J113" s="2" t="s">
        <v>1623</v>
      </c>
    </row>
    <row r="114" spans="1:10" ht="48" customHeight="1" x14ac:dyDescent="0.2">
      <c r="A114" s="2" t="s">
        <v>1624</v>
      </c>
      <c r="B114" s="2" t="s">
        <v>1625</v>
      </c>
      <c r="C114" s="2" t="s">
        <v>1626</v>
      </c>
      <c r="D114" s="6" t="s">
        <v>1627</v>
      </c>
      <c r="E114" s="2" t="s">
        <v>1328</v>
      </c>
      <c r="F114" s="7">
        <v>46257</v>
      </c>
      <c r="G114" s="2" t="s">
        <v>1628</v>
      </c>
      <c r="H114" s="7">
        <v>46268</v>
      </c>
      <c r="I114" s="2" t="s">
        <v>1170</v>
      </c>
      <c r="J114" s="2" t="s">
        <v>1629</v>
      </c>
    </row>
    <row r="115" spans="1:10" ht="34" customHeight="1" x14ac:dyDescent="0.2">
      <c r="A115" s="2" t="s">
        <v>1630</v>
      </c>
      <c r="B115" s="2" t="s">
        <v>1625</v>
      </c>
      <c r="C115" s="2" t="s">
        <v>1631</v>
      </c>
      <c r="D115" s="6" t="s">
        <v>1632</v>
      </c>
      <c r="E115" s="2" t="s">
        <v>1328</v>
      </c>
      <c r="F115" s="7">
        <v>46262</v>
      </c>
      <c r="G115" s="2" t="s">
        <v>1633</v>
      </c>
      <c r="H115" s="7">
        <v>46268</v>
      </c>
      <c r="I115" s="2" t="s">
        <v>1170</v>
      </c>
      <c r="J115" s="2" t="s">
        <v>1634</v>
      </c>
    </row>
  </sheetData>
  <mergeCells count="2">
    <mergeCell ref="A1:J1"/>
    <mergeCell ref="A2:J2"/>
  </mergeCells>
  <hyperlinks>
    <hyperlink ref="D5" r:id="rId1" xr:uid="{00000000-0004-0000-0500-000000000000}"/>
    <hyperlink ref="D6" r:id="rId2" xr:uid="{00000000-0004-0000-0500-000001000000}"/>
    <hyperlink ref="D7" r:id="rId3" xr:uid="{00000000-0004-0000-0500-000002000000}"/>
    <hyperlink ref="D8" r:id="rId4" xr:uid="{00000000-0004-0000-0500-000003000000}"/>
    <hyperlink ref="D9" r:id="rId5" xr:uid="{00000000-0004-0000-0500-000004000000}"/>
    <hyperlink ref="D10" r:id="rId6" xr:uid="{00000000-0004-0000-0500-000005000000}"/>
    <hyperlink ref="D11" r:id="rId7" xr:uid="{00000000-0004-0000-0500-000006000000}"/>
    <hyperlink ref="D12" r:id="rId8" xr:uid="{00000000-0004-0000-0500-000007000000}"/>
    <hyperlink ref="D13" r:id="rId9" xr:uid="{00000000-0004-0000-0500-000008000000}"/>
    <hyperlink ref="D14" r:id="rId10" xr:uid="{00000000-0004-0000-0500-000009000000}"/>
    <hyperlink ref="D15" r:id="rId11" xr:uid="{00000000-0004-0000-0500-00000A000000}"/>
    <hyperlink ref="D16" r:id="rId12" xr:uid="{00000000-0004-0000-0500-00000B000000}"/>
    <hyperlink ref="D17" r:id="rId13" xr:uid="{00000000-0004-0000-0500-00000C000000}"/>
    <hyperlink ref="D18" r:id="rId14" xr:uid="{00000000-0004-0000-0500-00000D000000}"/>
    <hyperlink ref="D19" r:id="rId15" xr:uid="{00000000-0004-0000-0500-00000E000000}"/>
    <hyperlink ref="D20" r:id="rId16" xr:uid="{00000000-0004-0000-0500-00000F000000}"/>
    <hyperlink ref="D21" r:id="rId17" xr:uid="{00000000-0004-0000-0500-000010000000}"/>
    <hyperlink ref="D22" r:id="rId18" xr:uid="{00000000-0004-0000-0500-000011000000}"/>
    <hyperlink ref="D23" r:id="rId19" xr:uid="{00000000-0004-0000-0500-000012000000}"/>
    <hyperlink ref="D24" r:id="rId20" xr:uid="{00000000-0004-0000-0500-000013000000}"/>
    <hyperlink ref="D25" r:id="rId21" xr:uid="{00000000-0004-0000-0500-000014000000}"/>
    <hyperlink ref="D26" r:id="rId22" xr:uid="{00000000-0004-0000-0500-000015000000}"/>
    <hyperlink ref="D27" r:id="rId23" xr:uid="{00000000-0004-0000-0500-000016000000}"/>
    <hyperlink ref="D28" r:id="rId24" xr:uid="{00000000-0004-0000-0500-000017000000}"/>
    <hyperlink ref="D29" r:id="rId25" xr:uid="{00000000-0004-0000-0500-000018000000}"/>
    <hyperlink ref="D30" r:id="rId26" xr:uid="{00000000-0004-0000-0500-000019000000}"/>
    <hyperlink ref="D31" r:id="rId27" xr:uid="{00000000-0004-0000-0500-00001A000000}"/>
    <hyperlink ref="D32" r:id="rId28" xr:uid="{00000000-0004-0000-0500-00001B000000}"/>
    <hyperlink ref="D33" r:id="rId29" xr:uid="{00000000-0004-0000-0500-00001C000000}"/>
    <hyperlink ref="D34" r:id="rId30" xr:uid="{00000000-0004-0000-0500-00001D000000}"/>
    <hyperlink ref="D35" r:id="rId31" xr:uid="{00000000-0004-0000-0500-00001E000000}"/>
    <hyperlink ref="D36" r:id="rId32" xr:uid="{00000000-0004-0000-0500-00001F000000}"/>
    <hyperlink ref="D37" r:id="rId33" xr:uid="{00000000-0004-0000-0500-000020000000}"/>
    <hyperlink ref="D38" r:id="rId34" xr:uid="{00000000-0004-0000-0500-000021000000}"/>
    <hyperlink ref="D39" r:id="rId35" xr:uid="{00000000-0004-0000-0500-000022000000}"/>
    <hyperlink ref="D40" r:id="rId36" xr:uid="{00000000-0004-0000-0500-000023000000}"/>
    <hyperlink ref="D41" r:id="rId37" xr:uid="{00000000-0004-0000-0500-000024000000}"/>
    <hyperlink ref="D42" r:id="rId38" xr:uid="{00000000-0004-0000-0500-000025000000}"/>
    <hyperlink ref="D43" r:id="rId39" xr:uid="{00000000-0004-0000-0500-000026000000}"/>
    <hyperlink ref="D44" r:id="rId40" xr:uid="{00000000-0004-0000-0500-000027000000}"/>
    <hyperlink ref="D45" r:id="rId41" xr:uid="{00000000-0004-0000-0500-000028000000}"/>
    <hyperlink ref="D46" r:id="rId42" xr:uid="{00000000-0004-0000-0500-000029000000}"/>
    <hyperlink ref="D47" r:id="rId43" xr:uid="{00000000-0004-0000-0500-00002A000000}"/>
    <hyperlink ref="D48" r:id="rId44" xr:uid="{00000000-0004-0000-0500-00002B000000}"/>
    <hyperlink ref="D49" r:id="rId45" xr:uid="{00000000-0004-0000-0500-00002C000000}"/>
    <hyperlink ref="D50" r:id="rId46" xr:uid="{00000000-0004-0000-0500-00002D000000}"/>
    <hyperlink ref="D51" r:id="rId47" xr:uid="{00000000-0004-0000-0500-00002E000000}"/>
    <hyperlink ref="D52" r:id="rId48" xr:uid="{00000000-0004-0000-0500-00002F000000}"/>
    <hyperlink ref="D53" r:id="rId49" xr:uid="{00000000-0004-0000-0500-000030000000}"/>
    <hyperlink ref="D54" r:id="rId50" xr:uid="{00000000-0004-0000-0500-000031000000}"/>
    <hyperlink ref="D55" r:id="rId51" xr:uid="{00000000-0004-0000-0500-000032000000}"/>
    <hyperlink ref="D56" r:id="rId52" xr:uid="{00000000-0004-0000-0500-000033000000}"/>
    <hyperlink ref="D57" r:id="rId53" xr:uid="{00000000-0004-0000-0500-000034000000}"/>
    <hyperlink ref="D58" r:id="rId54" xr:uid="{00000000-0004-0000-0500-000035000000}"/>
    <hyperlink ref="D59" r:id="rId55" xr:uid="{00000000-0004-0000-0500-000036000000}"/>
    <hyperlink ref="D60" r:id="rId56" xr:uid="{00000000-0004-0000-0500-000037000000}"/>
    <hyperlink ref="D61" r:id="rId57" xr:uid="{00000000-0004-0000-0500-000038000000}"/>
    <hyperlink ref="D62" r:id="rId58" xr:uid="{00000000-0004-0000-0500-000039000000}"/>
    <hyperlink ref="D63" r:id="rId59" xr:uid="{00000000-0004-0000-0500-00003A000000}"/>
    <hyperlink ref="D64" r:id="rId60" xr:uid="{00000000-0004-0000-0500-00003B000000}"/>
    <hyperlink ref="D65" r:id="rId61" xr:uid="{00000000-0004-0000-0500-00003C000000}"/>
    <hyperlink ref="D66" r:id="rId62" xr:uid="{00000000-0004-0000-0500-00003D000000}"/>
    <hyperlink ref="D67" r:id="rId63" xr:uid="{00000000-0004-0000-0500-00003E000000}"/>
    <hyperlink ref="D68" r:id="rId64" xr:uid="{00000000-0004-0000-0500-00003F000000}"/>
    <hyperlink ref="D69" r:id="rId65" xr:uid="{00000000-0004-0000-0500-000040000000}"/>
    <hyperlink ref="D70" r:id="rId66" xr:uid="{00000000-0004-0000-0500-000041000000}"/>
    <hyperlink ref="D71" r:id="rId67" xr:uid="{00000000-0004-0000-0500-000042000000}"/>
    <hyperlink ref="D72" r:id="rId68" xr:uid="{00000000-0004-0000-0500-000043000000}"/>
    <hyperlink ref="D73" r:id="rId69" xr:uid="{00000000-0004-0000-0500-000044000000}"/>
    <hyperlink ref="D74" r:id="rId70" xr:uid="{00000000-0004-0000-0500-000045000000}"/>
    <hyperlink ref="D75" r:id="rId71" xr:uid="{00000000-0004-0000-0500-000046000000}"/>
    <hyperlink ref="D76" r:id="rId72" xr:uid="{00000000-0004-0000-0500-000047000000}"/>
    <hyperlink ref="D77" r:id="rId73" xr:uid="{00000000-0004-0000-0500-000048000000}"/>
    <hyperlink ref="D78" r:id="rId74" xr:uid="{00000000-0004-0000-0500-000049000000}"/>
    <hyperlink ref="D79" r:id="rId75" xr:uid="{00000000-0004-0000-0500-00004A000000}"/>
    <hyperlink ref="D80" r:id="rId76" xr:uid="{00000000-0004-0000-0500-00004B000000}"/>
    <hyperlink ref="D81" r:id="rId77" xr:uid="{00000000-0004-0000-0500-00004C000000}"/>
    <hyperlink ref="D82" r:id="rId78" xr:uid="{00000000-0004-0000-0500-00004D000000}"/>
    <hyperlink ref="D83" r:id="rId79" xr:uid="{00000000-0004-0000-0500-00004E000000}"/>
    <hyperlink ref="D84" r:id="rId80" xr:uid="{00000000-0004-0000-0500-00004F000000}"/>
    <hyperlink ref="D85" r:id="rId81" xr:uid="{00000000-0004-0000-0500-000050000000}"/>
    <hyperlink ref="D86" r:id="rId82" xr:uid="{00000000-0004-0000-0500-000051000000}"/>
    <hyperlink ref="D87" r:id="rId83" xr:uid="{00000000-0004-0000-0500-000052000000}"/>
    <hyperlink ref="D88" r:id="rId84" xr:uid="{00000000-0004-0000-0500-000053000000}"/>
    <hyperlink ref="D89" r:id="rId85" xr:uid="{00000000-0004-0000-0500-000054000000}"/>
    <hyperlink ref="D90" r:id="rId86" xr:uid="{00000000-0004-0000-0500-000055000000}"/>
    <hyperlink ref="D91" r:id="rId87" xr:uid="{00000000-0004-0000-0500-000056000000}"/>
    <hyperlink ref="D92" r:id="rId88" xr:uid="{00000000-0004-0000-0500-000057000000}"/>
    <hyperlink ref="D93" r:id="rId89" xr:uid="{00000000-0004-0000-0500-000058000000}"/>
    <hyperlink ref="D94" r:id="rId90" xr:uid="{00000000-0004-0000-0500-000059000000}"/>
    <hyperlink ref="D95" r:id="rId91" xr:uid="{00000000-0004-0000-0500-00005A000000}"/>
    <hyperlink ref="D96" r:id="rId92" xr:uid="{00000000-0004-0000-0500-00005B000000}"/>
    <hyperlink ref="D97" r:id="rId93" xr:uid="{00000000-0004-0000-0500-00005C000000}"/>
    <hyperlink ref="D98" r:id="rId94" xr:uid="{00000000-0004-0000-0500-00005D000000}"/>
    <hyperlink ref="D99" r:id="rId95" xr:uid="{00000000-0004-0000-0500-00005E000000}"/>
    <hyperlink ref="D100" r:id="rId96" xr:uid="{00000000-0004-0000-0500-00005F000000}"/>
    <hyperlink ref="D101" r:id="rId97" xr:uid="{00000000-0004-0000-0500-000060000000}"/>
    <hyperlink ref="D102" r:id="rId98" xr:uid="{00000000-0004-0000-0500-000061000000}"/>
    <hyperlink ref="D103" r:id="rId99" xr:uid="{00000000-0004-0000-0500-000062000000}"/>
    <hyperlink ref="D104" r:id="rId100" xr:uid="{00000000-0004-0000-0500-000063000000}"/>
    <hyperlink ref="D105" r:id="rId101" xr:uid="{00000000-0004-0000-0500-000064000000}"/>
    <hyperlink ref="D106" r:id="rId102" xr:uid="{00000000-0004-0000-0500-000065000000}"/>
    <hyperlink ref="D107" r:id="rId103" xr:uid="{00000000-0004-0000-0500-000066000000}"/>
    <hyperlink ref="D108" r:id="rId104" xr:uid="{00000000-0004-0000-0500-000067000000}"/>
    <hyperlink ref="D109" r:id="rId105" xr:uid="{00000000-0004-0000-0500-000068000000}"/>
    <hyperlink ref="D110" r:id="rId106" xr:uid="{00000000-0004-0000-0500-000069000000}"/>
    <hyperlink ref="D111" r:id="rId107" xr:uid="{00000000-0004-0000-0500-00006A000000}"/>
    <hyperlink ref="D112" r:id="rId108" xr:uid="{00000000-0004-0000-0500-00006B000000}"/>
    <hyperlink ref="D113" r:id="rId109" xr:uid="{00000000-0004-0000-0500-00006C000000}"/>
    <hyperlink ref="D114" r:id="rId110" xr:uid="{00000000-0004-0000-0500-00006D000000}"/>
    <hyperlink ref="D115" r:id="rId111" xr:uid="{00000000-0004-0000-0500-00006E000000}"/>
  </hyperlinks>
  <pageMargins left="0.25" right="0.25" top="0.45" bottom="0.45" header="0.2" footer="0.2"/>
  <pageSetup fitToHeight="0" orientation="landscape"/>
  <headerFooter>
    <oddFooter>&amp;C&amp;8 &amp;K5E6C75Pakistan AI Policy Monitor | &amp;P of &amp;N</oddFooter>
  </headerFooter>
  <legacyDrawing r:id="rId112"/>
  <tableParts count="1">
    <tablePart r:id="rId1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9952E"/>
    <pageSetUpPr fitToPage="1"/>
  </sheetPr>
  <dimension ref="A1:F18"/>
  <sheetViews>
    <sheetView showGridLines="0" zoomScale="90" zoomScaleNormal="90"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11" customWidth="1"/>
    <col min="2" max="2" width="24" customWidth="1"/>
    <col min="3" max="3" width="42" customWidth="1"/>
    <col min="4" max="4" width="62" customWidth="1"/>
    <col min="5" max="5" width="12" customWidth="1"/>
    <col min="6" max="6" width="58" customWidth="1"/>
  </cols>
  <sheetData>
    <row r="1" spans="1:6" ht="33" customHeight="1" x14ac:dyDescent="0.2">
      <c r="A1" s="28" t="s">
        <v>84</v>
      </c>
      <c r="B1" s="24"/>
      <c r="C1" s="24"/>
      <c r="D1" s="24"/>
      <c r="E1" s="24"/>
      <c r="F1" s="24"/>
    </row>
    <row r="2" spans="1:6" ht="30" customHeight="1" x14ac:dyDescent="0.2">
      <c r="A2" s="25" t="s">
        <v>1635</v>
      </c>
      <c r="B2" s="24"/>
      <c r="C2" s="24"/>
      <c r="D2" s="24"/>
      <c r="E2" s="24"/>
      <c r="F2" s="24"/>
    </row>
    <row r="4" spans="1:6" ht="42" customHeight="1" x14ac:dyDescent="0.2">
      <c r="A4" s="1" t="s">
        <v>1636</v>
      </c>
      <c r="B4" s="1" t="s">
        <v>1637</v>
      </c>
      <c r="C4" s="1" t="s">
        <v>1638</v>
      </c>
      <c r="D4" s="1" t="s">
        <v>1639</v>
      </c>
      <c r="E4" s="1" t="s">
        <v>1156</v>
      </c>
      <c r="F4" s="1" t="s">
        <v>1640</v>
      </c>
    </row>
    <row r="5" spans="1:6" ht="34" customHeight="1" x14ac:dyDescent="0.2">
      <c r="A5" s="2" t="s">
        <v>1641</v>
      </c>
      <c r="B5" s="7">
        <v>46270</v>
      </c>
      <c r="C5" s="2" t="s">
        <v>1642</v>
      </c>
      <c r="D5" s="2" t="s">
        <v>1643</v>
      </c>
      <c r="E5" s="2" t="s">
        <v>1255</v>
      </c>
      <c r="F5" s="6" t="s">
        <v>1257</v>
      </c>
    </row>
    <row r="6" spans="1:6" ht="34" customHeight="1" x14ac:dyDescent="0.2">
      <c r="A6" s="2" t="s">
        <v>1644</v>
      </c>
      <c r="B6" s="2" t="s">
        <v>1645</v>
      </c>
      <c r="C6" s="2" t="s">
        <v>1646</v>
      </c>
      <c r="D6" s="2" t="s">
        <v>1647</v>
      </c>
      <c r="E6" s="2" t="s">
        <v>432</v>
      </c>
      <c r="F6" s="6" t="s">
        <v>433</v>
      </c>
    </row>
    <row r="7" spans="1:6" ht="34" customHeight="1" x14ac:dyDescent="0.2">
      <c r="A7" s="2" t="s">
        <v>1648</v>
      </c>
      <c r="B7" s="7">
        <v>46275</v>
      </c>
      <c r="C7" s="2" t="s">
        <v>1649</v>
      </c>
      <c r="D7" s="2" t="s">
        <v>1650</v>
      </c>
      <c r="E7" s="2" t="s">
        <v>1624</v>
      </c>
      <c r="F7" s="6" t="s">
        <v>1627</v>
      </c>
    </row>
    <row r="8" spans="1:6" ht="34" customHeight="1" x14ac:dyDescent="0.2">
      <c r="A8" s="2" t="s">
        <v>1651</v>
      </c>
      <c r="B8" s="2" t="s">
        <v>1652</v>
      </c>
      <c r="C8" s="2" t="s">
        <v>1653</v>
      </c>
      <c r="D8" s="2" t="s">
        <v>1654</v>
      </c>
      <c r="E8" s="2" t="s">
        <v>847</v>
      </c>
      <c r="F8" s="6" t="s">
        <v>848</v>
      </c>
    </row>
    <row r="9" spans="1:6" ht="34" customHeight="1" x14ac:dyDescent="0.2">
      <c r="A9" s="2" t="s">
        <v>1655</v>
      </c>
      <c r="B9" s="7">
        <v>46288</v>
      </c>
      <c r="C9" s="2" t="s">
        <v>1656</v>
      </c>
      <c r="D9" s="2" t="s">
        <v>1657</v>
      </c>
      <c r="E9" s="2" t="s">
        <v>1630</v>
      </c>
      <c r="F9" s="6" t="s">
        <v>1632</v>
      </c>
    </row>
    <row r="10" spans="1:6" ht="34" customHeight="1" x14ac:dyDescent="0.2">
      <c r="A10" s="2" t="s">
        <v>1658</v>
      </c>
      <c r="B10" s="2" t="s">
        <v>1659</v>
      </c>
      <c r="C10" s="2" t="s">
        <v>1660</v>
      </c>
      <c r="D10" s="2" t="s">
        <v>1661</v>
      </c>
      <c r="E10" s="2" t="s">
        <v>1397</v>
      </c>
      <c r="F10" s="6" t="s">
        <v>1400</v>
      </c>
    </row>
    <row r="11" spans="1:6" ht="34" customHeight="1" x14ac:dyDescent="0.2">
      <c r="A11" s="2" t="s">
        <v>1662</v>
      </c>
      <c r="B11" s="7">
        <v>46296</v>
      </c>
      <c r="C11" s="2" t="s">
        <v>1663</v>
      </c>
      <c r="D11" s="2" t="s">
        <v>1664</v>
      </c>
      <c r="E11" s="2" t="s">
        <v>951</v>
      </c>
      <c r="F11" s="6" t="s">
        <v>952</v>
      </c>
    </row>
    <row r="12" spans="1:6" ht="34" customHeight="1" x14ac:dyDescent="0.2">
      <c r="A12" s="2" t="s">
        <v>1665</v>
      </c>
      <c r="B12" s="2" t="s">
        <v>1666</v>
      </c>
      <c r="C12" s="2" t="s">
        <v>1667</v>
      </c>
      <c r="D12" s="2" t="s">
        <v>1668</v>
      </c>
      <c r="E12" s="2" t="s">
        <v>1164</v>
      </c>
      <c r="F12" s="6" t="s">
        <v>1167</v>
      </c>
    </row>
    <row r="13" spans="1:6" ht="34" customHeight="1" x14ac:dyDescent="0.2">
      <c r="A13" s="2" t="s">
        <v>1669</v>
      </c>
      <c r="B13" s="2" t="s">
        <v>1670</v>
      </c>
      <c r="C13" s="2" t="s">
        <v>1671</v>
      </c>
      <c r="D13" s="2" t="s">
        <v>1672</v>
      </c>
      <c r="E13" s="2" t="s">
        <v>1349</v>
      </c>
      <c r="F13" s="6" t="s">
        <v>1351</v>
      </c>
    </row>
    <row r="14" spans="1:6" ht="48" customHeight="1" x14ac:dyDescent="0.2">
      <c r="A14" s="2" t="s">
        <v>1673</v>
      </c>
      <c r="B14" s="2" t="s">
        <v>1674</v>
      </c>
      <c r="C14" s="2" t="s">
        <v>1675</v>
      </c>
      <c r="D14" s="2" t="s">
        <v>1676</v>
      </c>
      <c r="E14" s="2" t="s">
        <v>1500</v>
      </c>
      <c r="F14" s="6" t="s">
        <v>1503</v>
      </c>
    </row>
    <row r="15" spans="1:6" ht="34" customHeight="1" x14ac:dyDescent="0.2">
      <c r="A15" s="2" t="s">
        <v>1677</v>
      </c>
      <c r="B15" s="2" t="s">
        <v>1678</v>
      </c>
      <c r="C15" s="2" t="s">
        <v>1679</v>
      </c>
      <c r="D15" s="2" t="s">
        <v>1680</v>
      </c>
      <c r="E15" s="2" t="s">
        <v>1311</v>
      </c>
      <c r="F15" s="6" t="s">
        <v>1313</v>
      </c>
    </row>
    <row r="16" spans="1:6" ht="34" customHeight="1" x14ac:dyDescent="0.2">
      <c r="A16" s="2" t="s">
        <v>1681</v>
      </c>
      <c r="B16" s="2" t="s">
        <v>1682</v>
      </c>
      <c r="C16" s="2" t="s">
        <v>1683</v>
      </c>
      <c r="D16" s="2" t="s">
        <v>1684</v>
      </c>
      <c r="E16" s="2" t="s">
        <v>324</v>
      </c>
      <c r="F16" s="6" t="s">
        <v>325</v>
      </c>
    </row>
    <row r="17" spans="1:6" ht="34" customHeight="1" x14ac:dyDescent="0.2">
      <c r="A17" s="2" t="s">
        <v>1685</v>
      </c>
      <c r="B17" s="2" t="s">
        <v>1686</v>
      </c>
      <c r="C17" s="2" t="s">
        <v>1687</v>
      </c>
      <c r="D17" s="2" t="s">
        <v>1688</v>
      </c>
      <c r="E17" s="2" t="s">
        <v>863</v>
      </c>
      <c r="F17" s="6" t="s">
        <v>864</v>
      </c>
    </row>
    <row r="18" spans="1:6" ht="34" customHeight="1" x14ac:dyDescent="0.2">
      <c r="A18" s="2" t="s">
        <v>1689</v>
      </c>
      <c r="B18" s="2" t="s">
        <v>1690</v>
      </c>
      <c r="C18" s="2" t="s">
        <v>1691</v>
      </c>
      <c r="D18" s="2" t="s">
        <v>1692</v>
      </c>
      <c r="E18" s="2"/>
      <c r="F18" s="2"/>
    </row>
  </sheetData>
  <mergeCells count="2">
    <mergeCell ref="A2:F2"/>
    <mergeCell ref="A1:F1"/>
  </mergeCells>
  <hyperlinks>
    <hyperlink ref="F5" r:id="rId1" xr:uid="{00000000-0004-0000-0600-000000000000}"/>
    <hyperlink ref="F6" r:id="rId2" xr:uid="{00000000-0004-0000-0600-000001000000}"/>
    <hyperlink ref="F7" r:id="rId3" xr:uid="{00000000-0004-0000-0600-000002000000}"/>
    <hyperlink ref="F8" r:id="rId4" xr:uid="{00000000-0004-0000-0600-000003000000}"/>
    <hyperlink ref="F9" r:id="rId5" xr:uid="{00000000-0004-0000-0600-000004000000}"/>
    <hyperlink ref="F10" r:id="rId6" xr:uid="{00000000-0004-0000-0600-000005000000}"/>
    <hyperlink ref="F11" r:id="rId7" xr:uid="{00000000-0004-0000-0600-000006000000}"/>
    <hyperlink ref="F12" r:id="rId8" xr:uid="{00000000-0004-0000-0600-000007000000}"/>
    <hyperlink ref="F13" r:id="rId9" xr:uid="{00000000-0004-0000-0600-000008000000}"/>
    <hyperlink ref="F14" r:id="rId10" xr:uid="{00000000-0004-0000-0600-000009000000}"/>
    <hyperlink ref="F15" r:id="rId11" xr:uid="{00000000-0004-0000-0600-00000A000000}"/>
    <hyperlink ref="F16" r:id="rId12" xr:uid="{00000000-0004-0000-0600-00000B000000}"/>
    <hyperlink ref="F17" r:id="rId13" xr:uid="{00000000-0004-0000-0600-00000C000000}"/>
  </hyperlinks>
  <pageMargins left="0.25" right="0.25" top="0.45" bottom="0.45" header="0.2" footer="0.2"/>
  <pageSetup fitToHeight="0" orientation="landscape"/>
  <headerFooter>
    <oddFooter>&amp;C&amp;8 &amp;K5E6C75Pakistan AI Policy Monitor | &amp;P of &amp;N</oddFooter>
  </headerFooter>
  <tableParts count="1">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57885"/>
    <pageSetUpPr fitToPage="1"/>
  </sheetPr>
  <dimension ref="A1:Q17"/>
  <sheetViews>
    <sheetView showGridLines="0" zoomScale="80" zoomScaleNormal="80" workbookViewId="0">
      <pane xSplit="3" ySplit="4" topLeftCell="D5" activePane="bottomRight" state="frozen"/>
      <selection pane="topRight"/>
      <selection pane="bottomLeft"/>
      <selection pane="bottomRight"/>
    </sheetView>
  </sheetViews>
  <sheetFormatPr baseColWidth="10" defaultColWidth="8.83203125" defaultRowHeight="15" x14ac:dyDescent="0.2"/>
  <cols>
    <col min="1" max="1" width="48" customWidth="1"/>
    <col min="2" max="2" width="10" customWidth="1"/>
    <col min="3" max="3" width="36" customWidth="1"/>
    <col min="4" max="4" width="14" customWidth="1"/>
    <col min="5" max="6" width="22" customWidth="1"/>
    <col min="7" max="7" width="36" customWidth="1"/>
    <col min="8" max="8" width="12" customWidth="1"/>
    <col min="9" max="9" width="20" customWidth="1"/>
    <col min="10" max="10" width="42" customWidth="1"/>
    <col min="11" max="11" width="24" customWidth="1"/>
    <col min="12" max="13" width="22" customWidth="1"/>
    <col min="14" max="14" width="18" customWidth="1"/>
    <col min="15" max="15" width="36" customWidth="1"/>
    <col min="16" max="16" width="28" customWidth="1"/>
    <col min="17" max="17" width="52" customWidth="1"/>
  </cols>
  <sheetData>
    <row r="1" spans="1:17" ht="33" customHeight="1" x14ac:dyDescent="0.2">
      <c r="A1" s="28" t="s">
        <v>86</v>
      </c>
      <c r="B1" s="24"/>
      <c r="C1" s="24"/>
      <c r="D1" s="24"/>
      <c r="E1" s="24"/>
      <c r="F1" s="24"/>
      <c r="G1" s="24"/>
      <c r="H1" s="24"/>
      <c r="I1" s="24"/>
      <c r="J1" s="24"/>
      <c r="K1" s="24"/>
      <c r="L1" s="24"/>
      <c r="M1" s="24"/>
      <c r="N1" s="24"/>
      <c r="O1" s="24"/>
      <c r="P1" s="24"/>
      <c r="Q1" s="24"/>
    </row>
    <row r="2" spans="1:17" ht="30" customHeight="1" x14ac:dyDescent="0.2">
      <c r="A2" s="25" t="s">
        <v>1693</v>
      </c>
      <c r="B2" s="24"/>
      <c r="C2" s="24"/>
      <c r="D2" s="24"/>
      <c r="E2" s="24"/>
      <c r="F2" s="24"/>
      <c r="G2" s="24"/>
      <c r="H2" s="24"/>
      <c r="I2" s="24"/>
      <c r="J2" s="24"/>
      <c r="K2" s="24"/>
      <c r="L2" s="24"/>
      <c r="M2" s="24"/>
      <c r="N2" s="24"/>
      <c r="O2" s="24"/>
      <c r="P2" s="24"/>
      <c r="Q2" s="24"/>
    </row>
    <row r="4" spans="1:17" ht="42" customHeight="1" x14ac:dyDescent="0.2">
      <c r="A4" s="1" t="s">
        <v>1090</v>
      </c>
      <c r="B4" s="1" t="s">
        <v>1694</v>
      </c>
      <c r="C4" s="1" t="s">
        <v>1695</v>
      </c>
      <c r="D4" s="1" t="s">
        <v>1696</v>
      </c>
      <c r="E4" s="1" t="s">
        <v>1697</v>
      </c>
      <c r="F4" s="1" t="s">
        <v>1698</v>
      </c>
      <c r="G4" s="1" t="s">
        <v>1699</v>
      </c>
      <c r="H4" s="1" t="s">
        <v>1700</v>
      </c>
      <c r="I4" s="1" t="s">
        <v>1701</v>
      </c>
      <c r="J4" s="1" t="s">
        <v>1702</v>
      </c>
      <c r="K4" s="1" t="s">
        <v>1703</v>
      </c>
      <c r="L4" s="1" t="s">
        <v>1704</v>
      </c>
      <c r="M4" s="1" t="s">
        <v>1705</v>
      </c>
      <c r="N4" s="1" t="s">
        <v>1706</v>
      </c>
      <c r="O4" s="1" t="s">
        <v>1707</v>
      </c>
      <c r="P4" s="1" t="s">
        <v>115</v>
      </c>
      <c r="Q4" s="1" t="s">
        <v>1708</v>
      </c>
    </row>
    <row r="5" spans="1:17" ht="34" customHeight="1" x14ac:dyDescent="0.2">
      <c r="A5" s="2" t="s">
        <v>1100</v>
      </c>
      <c r="B5" s="2" t="s">
        <v>1709</v>
      </c>
      <c r="C5" s="2" t="s">
        <v>1710</v>
      </c>
      <c r="D5" s="15">
        <v>28165</v>
      </c>
      <c r="E5" s="12">
        <v>46268.124404444447</v>
      </c>
      <c r="F5" s="12">
        <v>46268.124404444447</v>
      </c>
      <c r="G5" s="2" t="s">
        <v>1104</v>
      </c>
      <c r="H5" s="2" t="b">
        <v>1</v>
      </c>
      <c r="I5" s="2" t="s">
        <v>1711</v>
      </c>
      <c r="J5" s="2"/>
      <c r="K5" s="2"/>
      <c r="L5" s="2"/>
      <c r="M5" s="2"/>
      <c r="N5" s="15">
        <v>3</v>
      </c>
      <c r="O5" s="2" t="s">
        <v>1712</v>
      </c>
      <c r="P5" s="2" t="s">
        <v>1713</v>
      </c>
      <c r="Q5" s="2" t="s">
        <v>1714</v>
      </c>
    </row>
    <row r="6" spans="1:17" ht="34" customHeight="1" x14ac:dyDescent="0.2">
      <c r="A6" s="2" t="s">
        <v>1111</v>
      </c>
      <c r="B6" s="2" t="s">
        <v>1715</v>
      </c>
      <c r="C6" s="2" t="s">
        <v>1716</v>
      </c>
      <c r="D6" s="15">
        <v>46701</v>
      </c>
      <c r="E6" s="12">
        <v>46268.118813171299</v>
      </c>
      <c r="F6" s="12">
        <v>46268.118813854169</v>
      </c>
      <c r="G6" s="2" t="s">
        <v>1115</v>
      </c>
      <c r="H6" s="2" t="b">
        <v>1</v>
      </c>
      <c r="I6" s="2" t="s">
        <v>1717</v>
      </c>
      <c r="J6" s="2" t="s">
        <v>1718</v>
      </c>
      <c r="K6" s="2" t="s">
        <v>0</v>
      </c>
      <c r="L6" s="12">
        <v>41631.96875</v>
      </c>
      <c r="M6" s="12">
        <v>41631.96875</v>
      </c>
      <c r="N6" s="15">
        <v>1</v>
      </c>
      <c r="O6" s="2" t="s">
        <v>1719</v>
      </c>
      <c r="P6" s="2" t="s">
        <v>1713</v>
      </c>
      <c r="Q6" s="2" t="s">
        <v>1720</v>
      </c>
    </row>
    <row r="7" spans="1:17" ht="34" customHeight="1" x14ac:dyDescent="0.2">
      <c r="A7" s="2" t="s">
        <v>1116</v>
      </c>
      <c r="B7" s="2" t="s">
        <v>1715</v>
      </c>
      <c r="C7" s="2" t="s">
        <v>1716</v>
      </c>
      <c r="D7" s="15">
        <v>45691</v>
      </c>
      <c r="E7" s="12">
        <v>46268.119327627312</v>
      </c>
      <c r="F7" s="12">
        <v>46268.11932824074</v>
      </c>
      <c r="G7" s="2" t="s">
        <v>1119</v>
      </c>
      <c r="H7" s="2" t="b">
        <v>1</v>
      </c>
      <c r="I7" s="2" t="s">
        <v>1717</v>
      </c>
      <c r="J7" s="2" t="s">
        <v>1721</v>
      </c>
      <c r="K7" s="2" t="s">
        <v>0</v>
      </c>
      <c r="L7" s="12">
        <v>41631.96875</v>
      </c>
      <c r="M7" s="12">
        <v>41631.96875</v>
      </c>
      <c r="N7" s="15">
        <v>1</v>
      </c>
      <c r="O7" s="2" t="s">
        <v>1722</v>
      </c>
      <c r="P7" s="2" t="s">
        <v>1713</v>
      </c>
      <c r="Q7" s="2" t="s">
        <v>1720</v>
      </c>
    </row>
    <row r="8" spans="1:17" ht="34" customHeight="1" x14ac:dyDescent="0.2">
      <c r="A8" s="2" t="s">
        <v>1120</v>
      </c>
      <c r="B8" s="2" t="s">
        <v>1715</v>
      </c>
      <c r="C8" s="2" t="s">
        <v>1716</v>
      </c>
      <c r="D8" s="15">
        <v>47772</v>
      </c>
      <c r="E8" s="12">
        <v>46268.119687905091</v>
      </c>
      <c r="F8" s="12">
        <v>46268.119688379629</v>
      </c>
      <c r="G8" s="2" t="s">
        <v>1123</v>
      </c>
      <c r="H8" s="2" t="b">
        <v>1</v>
      </c>
      <c r="I8" s="2" t="s">
        <v>1717</v>
      </c>
      <c r="J8" s="2" t="s">
        <v>1723</v>
      </c>
      <c r="K8" s="2" t="s">
        <v>0</v>
      </c>
      <c r="L8" s="12">
        <v>41631.96875</v>
      </c>
      <c r="M8" s="12">
        <v>41631.96875</v>
      </c>
      <c r="N8" s="15">
        <v>1</v>
      </c>
      <c r="O8" s="2" t="s">
        <v>1724</v>
      </c>
      <c r="P8" s="2" t="s">
        <v>1713</v>
      </c>
      <c r="Q8" s="2" t="s">
        <v>1720</v>
      </c>
    </row>
    <row r="9" spans="1:17" ht="34" customHeight="1" x14ac:dyDescent="0.2">
      <c r="A9" s="2" t="s">
        <v>1124</v>
      </c>
      <c r="B9" s="2" t="s">
        <v>1715</v>
      </c>
      <c r="C9" s="2" t="s">
        <v>1716</v>
      </c>
      <c r="D9" s="15">
        <v>45938</v>
      </c>
      <c r="E9" s="12">
        <v>46268.119946585648</v>
      </c>
      <c r="F9" s="12">
        <v>46268.119946979168</v>
      </c>
      <c r="G9" s="2" t="s">
        <v>1127</v>
      </c>
      <c r="H9" s="2" t="b">
        <v>1</v>
      </c>
      <c r="I9" s="2" t="s">
        <v>1717</v>
      </c>
      <c r="J9" s="2" t="s">
        <v>1725</v>
      </c>
      <c r="K9" s="2" t="s">
        <v>0</v>
      </c>
      <c r="L9" s="12">
        <v>41631.96875</v>
      </c>
      <c r="M9" s="12">
        <v>41631.96875</v>
      </c>
      <c r="N9" s="15">
        <v>1</v>
      </c>
      <c r="O9" s="2" t="s">
        <v>1726</v>
      </c>
      <c r="P9" s="2" t="s">
        <v>1713</v>
      </c>
      <c r="Q9" s="2" t="s">
        <v>1720</v>
      </c>
    </row>
    <row r="10" spans="1:17" ht="34" customHeight="1" x14ac:dyDescent="0.2">
      <c r="A10" s="2" t="s">
        <v>1128</v>
      </c>
      <c r="B10" s="2" t="s">
        <v>1715</v>
      </c>
      <c r="C10" s="2" t="s">
        <v>1716</v>
      </c>
      <c r="D10" s="15">
        <v>45788</v>
      </c>
      <c r="E10" s="12">
        <v>46268.120133206023</v>
      </c>
      <c r="F10" s="12">
        <v>46268.120133564807</v>
      </c>
      <c r="G10" s="2" t="s">
        <v>1131</v>
      </c>
      <c r="H10" s="2" t="b">
        <v>1</v>
      </c>
      <c r="I10" s="2" t="s">
        <v>1717</v>
      </c>
      <c r="J10" s="2" t="s">
        <v>1727</v>
      </c>
      <c r="K10" s="2" t="s">
        <v>0</v>
      </c>
      <c r="L10" s="12">
        <v>41631.96875</v>
      </c>
      <c r="M10" s="12">
        <v>41631.96875</v>
      </c>
      <c r="N10" s="15">
        <v>1</v>
      </c>
      <c r="O10" s="2" t="s">
        <v>1728</v>
      </c>
      <c r="P10" s="2" t="s">
        <v>1713</v>
      </c>
      <c r="Q10" s="2" t="s">
        <v>1720</v>
      </c>
    </row>
    <row r="11" spans="1:17" ht="34" customHeight="1" x14ac:dyDescent="0.2">
      <c r="A11" s="2" t="s">
        <v>1132</v>
      </c>
      <c r="B11" s="2" t="s">
        <v>1715</v>
      </c>
      <c r="C11" s="2" t="s">
        <v>1716</v>
      </c>
      <c r="D11" s="15">
        <v>47590</v>
      </c>
      <c r="E11" s="12">
        <v>46268.120433171287</v>
      </c>
      <c r="F11" s="12">
        <v>46268.120433171287</v>
      </c>
      <c r="G11" s="2" t="s">
        <v>1134</v>
      </c>
      <c r="H11" s="2" t="b">
        <v>1</v>
      </c>
      <c r="I11" s="2" t="s">
        <v>1717</v>
      </c>
      <c r="J11" s="2" t="s">
        <v>1729</v>
      </c>
      <c r="K11" s="2" t="s">
        <v>0</v>
      </c>
      <c r="L11" s="12">
        <v>41631.96875</v>
      </c>
      <c r="M11" s="12">
        <v>41631.96875</v>
      </c>
      <c r="N11" s="15">
        <v>1</v>
      </c>
      <c r="O11" s="2" t="s">
        <v>1730</v>
      </c>
      <c r="P11" s="2" t="s">
        <v>1713</v>
      </c>
      <c r="Q11" s="2" t="s">
        <v>1720</v>
      </c>
    </row>
    <row r="12" spans="1:17" ht="34" customHeight="1" x14ac:dyDescent="0.2">
      <c r="A12" s="2" t="s">
        <v>1135</v>
      </c>
      <c r="B12" s="2" t="s">
        <v>1715</v>
      </c>
      <c r="C12" s="2" t="s">
        <v>1716</v>
      </c>
      <c r="D12" s="15">
        <v>49996</v>
      </c>
      <c r="E12" s="12">
        <v>46268.120667499999</v>
      </c>
      <c r="F12" s="12">
        <v>46268.120668587973</v>
      </c>
      <c r="G12" s="2" t="s">
        <v>1138</v>
      </c>
      <c r="H12" s="2" t="b">
        <v>1</v>
      </c>
      <c r="I12" s="2" t="s">
        <v>1717</v>
      </c>
      <c r="J12" s="2" t="s">
        <v>1731</v>
      </c>
      <c r="K12" s="2" t="s">
        <v>0</v>
      </c>
      <c r="L12" s="12">
        <v>41631.96875</v>
      </c>
      <c r="M12" s="12">
        <v>41631.96875</v>
      </c>
      <c r="N12" s="15">
        <v>1</v>
      </c>
      <c r="O12" s="2" t="s">
        <v>1732</v>
      </c>
      <c r="P12" s="2" t="s">
        <v>1713</v>
      </c>
      <c r="Q12" s="2" t="s">
        <v>1720</v>
      </c>
    </row>
    <row r="13" spans="1:17" ht="34" customHeight="1" x14ac:dyDescent="0.2">
      <c r="A13" s="2" t="s">
        <v>1139</v>
      </c>
      <c r="B13" s="2" t="s">
        <v>1715</v>
      </c>
      <c r="C13" s="2" t="s">
        <v>1716</v>
      </c>
      <c r="D13" s="15">
        <v>45578</v>
      </c>
      <c r="E13" s="12">
        <v>46268.120964340284</v>
      </c>
      <c r="F13" s="12">
        <v>46268.120964872687</v>
      </c>
      <c r="G13" s="2" t="s">
        <v>1142</v>
      </c>
      <c r="H13" s="2" t="b">
        <v>1</v>
      </c>
      <c r="I13" s="2" t="s">
        <v>1717</v>
      </c>
      <c r="J13" s="2" t="s">
        <v>1733</v>
      </c>
      <c r="K13" s="2" t="s">
        <v>0</v>
      </c>
      <c r="L13" s="12">
        <v>41631.96875</v>
      </c>
      <c r="M13" s="12">
        <v>41631.96875</v>
      </c>
      <c r="N13" s="15">
        <v>1</v>
      </c>
      <c r="O13" s="2" t="s">
        <v>1734</v>
      </c>
      <c r="P13" s="2" t="s">
        <v>1713</v>
      </c>
      <c r="Q13" s="2" t="s">
        <v>1720</v>
      </c>
    </row>
    <row r="14" spans="1:17" ht="34" customHeight="1" x14ac:dyDescent="0.2">
      <c r="A14" s="2" t="s">
        <v>1143</v>
      </c>
      <c r="B14" s="2" t="s">
        <v>1715</v>
      </c>
      <c r="C14" s="2" t="s">
        <v>1716</v>
      </c>
      <c r="D14" s="15">
        <v>46515</v>
      </c>
      <c r="E14" s="12">
        <v>46268.121146550933</v>
      </c>
      <c r="F14" s="12">
        <v>46268.12114703704</v>
      </c>
      <c r="G14" s="2" t="s">
        <v>1146</v>
      </c>
      <c r="H14" s="2" t="b">
        <v>1</v>
      </c>
      <c r="I14" s="2" t="s">
        <v>1717</v>
      </c>
      <c r="J14" s="2" t="s">
        <v>1735</v>
      </c>
      <c r="K14" s="2" t="s">
        <v>0</v>
      </c>
      <c r="L14" s="12">
        <v>41631.96875</v>
      </c>
      <c r="M14" s="12">
        <v>41631.96875</v>
      </c>
      <c r="N14" s="15">
        <v>1</v>
      </c>
      <c r="O14" s="2" t="s">
        <v>1736</v>
      </c>
      <c r="P14" s="2" t="s">
        <v>1713</v>
      </c>
      <c r="Q14" s="2" t="s">
        <v>1720</v>
      </c>
    </row>
    <row r="15" spans="1:17" ht="34" customHeight="1" x14ac:dyDescent="0.2">
      <c r="A15" s="2" t="s">
        <v>1147</v>
      </c>
      <c r="B15" s="2" t="s">
        <v>1715</v>
      </c>
      <c r="C15" s="2" t="s">
        <v>1716</v>
      </c>
      <c r="D15" s="15">
        <v>48098</v>
      </c>
      <c r="E15" s="12">
        <v>46268.121326817127</v>
      </c>
      <c r="F15" s="12">
        <v>46268.121326828703</v>
      </c>
      <c r="G15" s="2" t="s">
        <v>1150</v>
      </c>
      <c r="H15" s="2" t="b">
        <v>1</v>
      </c>
      <c r="I15" s="2" t="s">
        <v>1717</v>
      </c>
      <c r="J15" s="2" t="s">
        <v>1737</v>
      </c>
      <c r="K15" s="2" t="s">
        <v>0</v>
      </c>
      <c r="L15" s="12">
        <v>41631.96875</v>
      </c>
      <c r="M15" s="12">
        <v>41631.96875</v>
      </c>
      <c r="N15" s="15">
        <v>1</v>
      </c>
      <c r="O15" s="2" t="s">
        <v>1738</v>
      </c>
      <c r="P15" s="2" t="s">
        <v>1713</v>
      </c>
      <c r="Q15" s="2" t="s">
        <v>1720</v>
      </c>
    </row>
    <row r="16" spans="1:17" ht="34" customHeight="1" x14ac:dyDescent="0.2">
      <c r="A16" s="2" t="s">
        <v>1151</v>
      </c>
      <c r="B16" s="2" t="s">
        <v>1715</v>
      </c>
      <c r="C16" s="2" t="s">
        <v>1716</v>
      </c>
      <c r="D16" s="15">
        <v>47855</v>
      </c>
      <c r="E16" s="12">
        <v>46268.121455960652</v>
      </c>
      <c r="F16" s="12">
        <v>46268.121455972221</v>
      </c>
      <c r="G16" s="2" t="s">
        <v>1154</v>
      </c>
      <c r="H16" s="2" t="b">
        <v>1</v>
      </c>
      <c r="I16" s="2" t="s">
        <v>1717</v>
      </c>
      <c r="J16" s="2" t="s">
        <v>1739</v>
      </c>
      <c r="K16" s="2" t="s">
        <v>0</v>
      </c>
      <c r="L16" s="12">
        <v>41631.96875</v>
      </c>
      <c r="M16" s="12">
        <v>41631.96875</v>
      </c>
      <c r="N16" s="15">
        <v>1</v>
      </c>
      <c r="O16" s="2" t="s">
        <v>1740</v>
      </c>
      <c r="P16" s="2" t="s">
        <v>1713</v>
      </c>
      <c r="Q16" s="2" t="s">
        <v>1720</v>
      </c>
    </row>
    <row r="17" spans="1:17" ht="48" customHeight="1" x14ac:dyDescent="0.2">
      <c r="A17" s="2" t="s">
        <v>1026</v>
      </c>
      <c r="B17" s="2" t="s">
        <v>1741</v>
      </c>
      <c r="C17" s="2" t="s">
        <v>1742</v>
      </c>
      <c r="D17" s="15">
        <v>39655</v>
      </c>
      <c r="E17" s="12">
        <v>46263.874758449077</v>
      </c>
      <c r="F17" s="12">
        <v>46263.874758449077</v>
      </c>
      <c r="G17" s="2" t="s">
        <v>1743</v>
      </c>
      <c r="H17" s="2" t="b">
        <v>1</v>
      </c>
      <c r="I17" s="2" t="s">
        <v>1711</v>
      </c>
      <c r="J17" s="2"/>
      <c r="K17" s="2"/>
      <c r="L17" s="2"/>
      <c r="M17" s="2"/>
      <c r="N17" s="15">
        <v>0</v>
      </c>
      <c r="O17" s="2"/>
      <c r="P17" s="2" t="s">
        <v>1744</v>
      </c>
      <c r="Q17" s="2" t="s">
        <v>1745</v>
      </c>
    </row>
  </sheetData>
  <mergeCells count="2">
    <mergeCell ref="A2:Q2"/>
    <mergeCell ref="A1:Q1"/>
  </mergeCells>
  <conditionalFormatting sqref="H5:H17">
    <cfRule type="expression" dxfId="2" priority="1">
      <formula>H5=TRUE</formula>
    </cfRule>
  </conditionalFormatting>
  <conditionalFormatting sqref="P5:P17">
    <cfRule type="expression" dxfId="1" priority="2">
      <formula>ISNUMBER(SEARCH("include",P5))</formula>
    </cfRule>
    <cfRule type="expression" dxfId="0" priority="3">
      <formula>ISNUMBER(SEARCH("exclude",P5))</formula>
    </cfRule>
  </conditionalFormatting>
  <pageMargins left="0.25" right="0.25" top="0.45" bottom="0.45" header="0.2" footer="0.2"/>
  <pageSetup fitToHeight="0" orientation="landscape"/>
  <headerFooter>
    <oddFooter>&amp;C&amp;8 &amp;K5E6C75Pakistan AI Policy Monitor | &amp;P of &amp;N</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F6B6D"/>
    <pageSetUpPr fitToPage="1"/>
  </sheetPr>
  <dimension ref="A1:H48"/>
  <sheetViews>
    <sheetView showGridLines="0" zoomScale="90" zoomScaleNormal="90" workbookViewId="0">
      <pane ySplit="3" topLeftCell="A4" activePane="bottomLeft" state="frozen"/>
      <selection pane="bottomLeft"/>
    </sheetView>
  </sheetViews>
  <sheetFormatPr baseColWidth="10" defaultColWidth="8.83203125" defaultRowHeight="15" x14ac:dyDescent="0.2"/>
  <cols>
    <col min="1" max="1" width="28" customWidth="1"/>
    <col min="2" max="2" width="20" customWidth="1"/>
    <col min="3" max="3" width="26" customWidth="1"/>
    <col min="4" max="4" width="3" customWidth="1"/>
    <col min="5" max="5" width="28" customWidth="1"/>
    <col min="6" max="6" width="20" customWidth="1"/>
    <col min="7" max="7" width="26" customWidth="1"/>
    <col min="8" max="8" width="3" customWidth="1"/>
  </cols>
  <sheetData>
    <row r="1" spans="1:8" ht="33" customHeight="1" x14ac:dyDescent="0.2">
      <c r="A1" s="28" t="s">
        <v>88</v>
      </c>
      <c r="B1" s="24"/>
      <c r="C1" s="24"/>
      <c r="D1" s="24"/>
      <c r="E1" s="24"/>
      <c r="F1" s="24"/>
      <c r="G1" s="24"/>
      <c r="H1" s="24"/>
    </row>
    <row r="2" spans="1:8" ht="30" customHeight="1" x14ac:dyDescent="0.2">
      <c r="A2" s="25" t="s">
        <v>1746</v>
      </c>
      <c r="B2" s="24"/>
      <c r="C2" s="24"/>
      <c r="D2" s="24"/>
      <c r="E2" s="24"/>
      <c r="F2" s="24"/>
      <c r="G2" s="24"/>
      <c r="H2" s="24"/>
    </row>
    <row r="4" spans="1:8" ht="22" customHeight="1" x14ac:dyDescent="0.2">
      <c r="A4" s="29" t="s">
        <v>1747</v>
      </c>
      <c r="B4" s="24"/>
      <c r="C4" s="24"/>
      <c r="D4" s="24"/>
      <c r="E4" s="24"/>
      <c r="F4" s="24"/>
      <c r="G4" s="24"/>
      <c r="H4" s="24"/>
    </row>
    <row r="5" spans="1:8" x14ac:dyDescent="0.2">
      <c r="A5" s="1" t="s">
        <v>1748</v>
      </c>
      <c r="B5" s="1" t="s">
        <v>1749</v>
      </c>
      <c r="C5" s="35" t="s">
        <v>1750</v>
      </c>
      <c r="D5" s="24"/>
      <c r="E5" s="24"/>
      <c r="F5" s="24"/>
      <c r="G5" s="24"/>
      <c r="H5" s="24"/>
    </row>
    <row r="6" spans="1:8" ht="38" customHeight="1" x14ac:dyDescent="0.2">
      <c r="A6" s="2">
        <v>1</v>
      </c>
      <c r="B6" s="2" t="s">
        <v>1751</v>
      </c>
      <c r="C6" s="23" t="s">
        <v>1752</v>
      </c>
      <c r="D6" s="32"/>
      <c r="E6" s="32"/>
      <c r="F6" s="32"/>
      <c r="G6" s="32"/>
      <c r="H6" s="32"/>
    </row>
    <row r="7" spans="1:8" ht="38" customHeight="1" x14ac:dyDescent="0.2">
      <c r="A7" s="2">
        <v>2</v>
      </c>
      <c r="B7" s="2" t="s">
        <v>1753</v>
      </c>
      <c r="C7" s="23" t="s">
        <v>1754</v>
      </c>
      <c r="D7" s="32"/>
      <c r="E7" s="32"/>
      <c r="F7" s="32"/>
      <c r="G7" s="32"/>
      <c r="H7" s="32"/>
    </row>
    <row r="8" spans="1:8" ht="38" customHeight="1" x14ac:dyDescent="0.2">
      <c r="A8" s="2">
        <v>3</v>
      </c>
      <c r="B8" s="2" t="s">
        <v>1755</v>
      </c>
      <c r="C8" s="23" t="s">
        <v>1756</v>
      </c>
      <c r="D8" s="32"/>
      <c r="E8" s="32"/>
      <c r="F8" s="32"/>
      <c r="G8" s="32"/>
      <c r="H8" s="32"/>
    </row>
    <row r="9" spans="1:8" ht="38" customHeight="1" x14ac:dyDescent="0.2">
      <c r="A9" s="2">
        <v>4</v>
      </c>
      <c r="B9" s="2" t="s">
        <v>1757</v>
      </c>
      <c r="C9" s="23" t="s">
        <v>1758</v>
      </c>
      <c r="D9" s="32"/>
      <c r="E9" s="32"/>
      <c r="F9" s="32"/>
      <c r="G9" s="32"/>
      <c r="H9" s="32"/>
    </row>
    <row r="10" spans="1:8" ht="38" customHeight="1" x14ac:dyDescent="0.2">
      <c r="A10" s="2">
        <v>5</v>
      </c>
      <c r="B10" s="2" t="s">
        <v>1759</v>
      </c>
      <c r="C10" s="23" t="s">
        <v>1760</v>
      </c>
      <c r="D10" s="32"/>
      <c r="E10" s="32"/>
      <c r="F10" s="32"/>
      <c r="G10" s="32"/>
      <c r="H10" s="32"/>
    </row>
    <row r="11" spans="1:8" ht="38" customHeight="1" x14ac:dyDescent="0.2">
      <c r="A11" s="2">
        <v>6</v>
      </c>
      <c r="B11" s="2" t="s">
        <v>1761</v>
      </c>
      <c r="C11" s="23" t="s">
        <v>1762</v>
      </c>
      <c r="D11" s="32"/>
      <c r="E11" s="32"/>
      <c r="F11" s="32"/>
      <c r="G11" s="32"/>
      <c r="H11" s="32"/>
    </row>
    <row r="12" spans="1:8" ht="38" customHeight="1" x14ac:dyDescent="0.2">
      <c r="A12" s="2">
        <v>7</v>
      </c>
      <c r="B12" s="2" t="s">
        <v>1763</v>
      </c>
      <c r="C12" s="23" t="s">
        <v>1764</v>
      </c>
      <c r="D12" s="32"/>
      <c r="E12" s="32"/>
      <c r="F12" s="32"/>
      <c r="G12" s="32"/>
      <c r="H12" s="32"/>
    </row>
    <row r="15" spans="1:8" ht="22" customHeight="1" x14ac:dyDescent="0.2">
      <c r="A15" s="26" t="s">
        <v>1765</v>
      </c>
      <c r="B15" s="24"/>
      <c r="C15" s="24"/>
      <c r="D15" s="24"/>
      <c r="E15" s="24"/>
      <c r="F15" s="24"/>
      <c r="G15" s="24"/>
      <c r="H15" s="24"/>
    </row>
    <row r="16" spans="1:8" ht="50" customHeight="1" x14ac:dyDescent="0.2">
      <c r="A16" s="18" t="s">
        <v>1766</v>
      </c>
      <c r="B16" s="23" t="s">
        <v>4</v>
      </c>
      <c r="C16" s="24"/>
      <c r="D16" s="24"/>
      <c r="E16" s="24"/>
      <c r="F16" s="24"/>
      <c r="G16" s="24"/>
      <c r="H16" s="24"/>
    </row>
    <row r="17" spans="1:8" ht="50" customHeight="1" x14ac:dyDescent="0.2">
      <c r="A17" s="18" t="s">
        <v>1767</v>
      </c>
      <c r="B17" s="23" t="s">
        <v>1768</v>
      </c>
      <c r="C17" s="24"/>
      <c r="D17" s="24"/>
      <c r="E17" s="24"/>
      <c r="F17" s="24"/>
      <c r="G17" s="24"/>
      <c r="H17" s="24"/>
    </row>
    <row r="18" spans="1:8" ht="50" customHeight="1" x14ac:dyDescent="0.2">
      <c r="A18" s="18" t="s">
        <v>1769</v>
      </c>
      <c r="B18" s="23" t="s">
        <v>1770</v>
      </c>
      <c r="C18" s="24"/>
      <c r="D18" s="24"/>
      <c r="E18" s="24"/>
      <c r="F18" s="24"/>
      <c r="G18" s="24"/>
      <c r="H18" s="24"/>
    </row>
    <row r="19" spans="1:8" ht="50" customHeight="1" x14ac:dyDescent="0.2">
      <c r="A19" s="18" t="s">
        <v>1771</v>
      </c>
      <c r="B19" s="23" t="s">
        <v>1772</v>
      </c>
      <c r="C19" s="24"/>
      <c r="D19" s="24"/>
      <c r="E19" s="24"/>
      <c r="F19" s="24"/>
      <c r="G19" s="24"/>
      <c r="H19" s="24"/>
    </row>
    <row r="20" spans="1:8" ht="50" customHeight="1" x14ac:dyDescent="0.2">
      <c r="A20" s="18" t="s">
        <v>1773</v>
      </c>
      <c r="B20" s="23" t="s">
        <v>1774</v>
      </c>
      <c r="C20" s="24"/>
      <c r="D20" s="24"/>
      <c r="E20" s="24"/>
      <c r="F20" s="24"/>
      <c r="G20" s="24"/>
      <c r="H20" s="24"/>
    </row>
    <row r="21" spans="1:8" ht="50" customHeight="1" x14ac:dyDescent="0.2">
      <c r="A21" s="18" t="s">
        <v>1775</v>
      </c>
      <c r="B21" s="23" t="s">
        <v>1776</v>
      </c>
      <c r="C21" s="24"/>
      <c r="D21" s="24"/>
      <c r="E21" s="24"/>
      <c r="F21" s="24"/>
      <c r="G21" s="24"/>
      <c r="H21" s="24"/>
    </row>
    <row r="22" spans="1:8" ht="50" customHeight="1" x14ac:dyDescent="0.2">
      <c r="A22" s="18" t="s">
        <v>1777</v>
      </c>
      <c r="B22" s="23" t="s">
        <v>1778</v>
      </c>
      <c r="C22" s="24"/>
      <c r="D22" s="24"/>
      <c r="E22" s="24"/>
      <c r="F22" s="24"/>
      <c r="G22" s="24"/>
      <c r="H22" s="24"/>
    </row>
    <row r="23" spans="1:8" ht="50" customHeight="1" x14ac:dyDescent="0.2">
      <c r="A23" s="18" t="s">
        <v>1779</v>
      </c>
      <c r="B23" s="23" t="s">
        <v>1780</v>
      </c>
      <c r="C23" s="24"/>
      <c r="D23" s="24"/>
      <c r="E23" s="24"/>
      <c r="F23" s="24"/>
      <c r="G23" s="24"/>
      <c r="H23" s="24"/>
    </row>
    <row r="26" spans="1:8" ht="22" customHeight="1" x14ac:dyDescent="0.2">
      <c r="A26" s="29" t="s">
        <v>1781</v>
      </c>
      <c r="B26" s="24"/>
      <c r="C26" s="24"/>
      <c r="D26" s="24"/>
      <c r="E26" s="24"/>
      <c r="F26" s="24"/>
      <c r="G26" s="24"/>
      <c r="H26" s="24"/>
    </row>
    <row r="27" spans="1:8" x14ac:dyDescent="0.2">
      <c r="A27" s="1" t="s">
        <v>1782</v>
      </c>
      <c r="B27" s="1" t="s">
        <v>45</v>
      </c>
    </row>
    <row r="28" spans="1:8" ht="48" customHeight="1" x14ac:dyDescent="0.2">
      <c r="A28" s="19" t="s">
        <v>181</v>
      </c>
      <c r="B28" s="23" t="s">
        <v>1783</v>
      </c>
      <c r="C28" s="24"/>
      <c r="D28" s="24"/>
      <c r="E28" s="24"/>
      <c r="F28" s="24"/>
      <c r="G28" s="24"/>
      <c r="H28" s="24"/>
    </row>
    <row r="29" spans="1:8" ht="48" customHeight="1" x14ac:dyDescent="0.2">
      <c r="A29" s="20" t="s">
        <v>136</v>
      </c>
      <c r="B29" s="23" t="s">
        <v>1784</v>
      </c>
      <c r="C29" s="24"/>
      <c r="D29" s="24"/>
      <c r="E29" s="24"/>
      <c r="F29" s="24"/>
      <c r="G29" s="24"/>
      <c r="H29" s="24"/>
    </row>
    <row r="30" spans="1:8" ht="48" customHeight="1" x14ac:dyDescent="0.2">
      <c r="A30" s="21" t="s">
        <v>301</v>
      </c>
      <c r="B30" s="23" t="s">
        <v>1785</v>
      </c>
      <c r="C30" s="24"/>
      <c r="D30" s="24"/>
      <c r="E30" s="24"/>
      <c r="F30" s="24"/>
      <c r="G30" s="24"/>
      <c r="H30" s="24"/>
    </row>
    <row r="32" spans="1:8" ht="22" customHeight="1" x14ac:dyDescent="0.2">
      <c r="A32" s="26" t="s">
        <v>1786</v>
      </c>
      <c r="B32" s="24"/>
      <c r="C32" s="24"/>
      <c r="D32" s="24"/>
      <c r="E32" s="24"/>
      <c r="F32" s="24"/>
      <c r="G32" s="24"/>
      <c r="H32" s="24"/>
    </row>
    <row r="33" spans="1:8" ht="42" customHeight="1" x14ac:dyDescent="0.2">
      <c r="A33" s="22" t="s">
        <v>140</v>
      </c>
      <c r="B33" s="23" t="s">
        <v>1787</v>
      </c>
      <c r="C33" s="24"/>
      <c r="D33" s="24"/>
      <c r="E33" s="24"/>
      <c r="F33" s="24"/>
      <c r="G33" s="24"/>
      <c r="H33" s="24"/>
    </row>
    <row r="34" spans="1:8" ht="42" customHeight="1" x14ac:dyDescent="0.2">
      <c r="A34" s="22" t="s">
        <v>731</v>
      </c>
      <c r="B34" s="23" t="s">
        <v>1788</v>
      </c>
      <c r="C34" s="24"/>
      <c r="D34" s="24"/>
      <c r="E34" s="24"/>
      <c r="F34" s="24"/>
      <c r="G34" s="24"/>
      <c r="H34" s="24"/>
    </row>
    <row r="35" spans="1:8" ht="42" customHeight="1" x14ac:dyDescent="0.2">
      <c r="A35" s="22" t="s">
        <v>1789</v>
      </c>
      <c r="B35" s="23" t="s">
        <v>1790</v>
      </c>
      <c r="C35" s="24"/>
      <c r="D35" s="24"/>
      <c r="E35" s="24"/>
      <c r="F35" s="24"/>
      <c r="G35" s="24"/>
      <c r="H35" s="24"/>
    </row>
    <row r="36" spans="1:8" ht="42" customHeight="1" x14ac:dyDescent="0.2">
      <c r="A36" s="22" t="s">
        <v>1791</v>
      </c>
      <c r="B36" s="23" t="s">
        <v>1792</v>
      </c>
      <c r="C36" s="24"/>
      <c r="D36" s="24"/>
      <c r="E36" s="24"/>
      <c r="F36" s="24"/>
      <c r="G36" s="24"/>
      <c r="H36" s="24"/>
    </row>
    <row r="37" spans="1:8" ht="42" customHeight="1" x14ac:dyDescent="0.2">
      <c r="A37" s="22" t="s">
        <v>252</v>
      </c>
      <c r="B37" s="23" t="s">
        <v>1793</v>
      </c>
      <c r="C37" s="24"/>
      <c r="D37" s="24"/>
      <c r="E37" s="24"/>
      <c r="F37" s="24"/>
      <c r="G37" s="24"/>
      <c r="H37" s="24"/>
    </row>
    <row r="38" spans="1:8" ht="42" customHeight="1" x14ac:dyDescent="0.2">
      <c r="A38" s="22" t="s">
        <v>1794</v>
      </c>
      <c r="B38" s="23" t="s">
        <v>1795</v>
      </c>
      <c r="C38" s="24"/>
      <c r="D38" s="24"/>
      <c r="E38" s="24"/>
      <c r="F38" s="24"/>
      <c r="G38" s="24"/>
      <c r="H38" s="24"/>
    </row>
    <row r="39" spans="1:8" ht="42" customHeight="1" x14ac:dyDescent="0.2">
      <c r="A39" s="22" t="s">
        <v>1796</v>
      </c>
      <c r="B39" s="23" t="s">
        <v>1797</v>
      </c>
      <c r="C39" s="24"/>
      <c r="D39" s="24"/>
      <c r="E39" s="24"/>
      <c r="F39" s="24"/>
      <c r="G39" s="24"/>
      <c r="H39" s="24"/>
    </row>
    <row r="42" spans="1:8" ht="22" customHeight="1" x14ac:dyDescent="0.2">
      <c r="A42" s="29" t="s">
        <v>1798</v>
      </c>
      <c r="B42" s="24"/>
      <c r="C42" s="24"/>
      <c r="D42" s="24"/>
      <c r="E42" s="24"/>
      <c r="F42" s="24"/>
      <c r="G42" s="24"/>
      <c r="H42" s="24"/>
    </row>
    <row r="43" spans="1:8" ht="29" customHeight="1" x14ac:dyDescent="0.2">
      <c r="A43" s="33" t="s">
        <v>383</v>
      </c>
      <c r="B43" s="24"/>
      <c r="C43" s="24"/>
      <c r="E43" s="34" t="s">
        <v>164</v>
      </c>
      <c r="F43" s="24"/>
      <c r="G43" s="24"/>
    </row>
    <row r="44" spans="1:8" ht="29" customHeight="1" x14ac:dyDescent="0.2">
      <c r="A44" s="33" t="s">
        <v>186</v>
      </c>
      <c r="B44" s="24"/>
      <c r="C44" s="24"/>
      <c r="E44" s="34" t="s">
        <v>233</v>
      </c>
      <c r="F44" s="24"/>
      <c r="G44" s="24"/>
    </row>
    <row r="45" spans="1:8" ht="29" customHeight="1" x14ac:dyDescent="0.2">
      <c r="A45" s="33" t="s">
        <v>215</v>
      </c>
      <c r="B45" s="24"/>
      <c r="C45" s="24"/>
      <c r="E45" s="34" t="s">
        <v>399</v>
      </c>
      <c r="F45" s="24"/>
      <c r="G45" s="24"/>
    </row>
    <row r="46" spans="1:8" ht="29" customHeight="1" x14ac:dyDescent="0.2">
      <c r="A46" s="33" t="s">
        <v>413</v>
      </c>
      <c r="B46" s="24"/>
      <c r="C46" s="24"/>
      <c r="E46" s="34" t="s">
        <v>336</v>
      </c>
      <c r="F46" s="24"/>
      <c r="G46" s="24"/>
    </row>
    <row r="47" spans="1:8" ht="29" customHeight="1" x14ac:dyDescent="0.2">
      <c r="A47" s="33" t="s">
        <v>143</v>
      </c>
      <c r="B47" s="24"/>
      <c r="C47" s="24"/>
      <c r="E47" s="34" t="s">
        <v>352</v>
      </c>
      <c r="F47" s="24"/>
      <c r="G47" s="24"/>
    </row>
    <row r="48" spans="1:8" ht="29" customHeight="1" x14ac:dyDescent="0.2">
      <c r="A48" s="33" t="s">
        <v>118</v>
      </c>
      <c r="B48" s="24"/>
      <c r="C48" s="24"/>
    </row>
  </sheetData>
  <mergeCells count="44">
    <mergeCell ref="A48:C48"/>
    <mergeCell ref="B23:H23"/>
    <mergeCell ref="A4:H4"/>
    <mergeCell ref="C6:H6"/>
    <mergeCell ref="B17:H17"/>
    <mergeCell ref="A45:C45"/>
    <mergeCell ref="C5:H5"/>
    <mergeCell ref="B38:H38"/>
    <mergeCell ref="B29:H29"/>
    <mergeCell ref="E44:G44"/>
    <mergeCell ref="B19:H19"/>
    <mergeCell ref="B34:H34"/>
    <mergeCell ref="B28:H28"/>
    <mergeCell ref="A47:C47"/>
    <mergeCell ref="B35:H35"/>
    <mergeCell ref="E45:G45"/>
    <mergeCell ref="C8:H8"/>
    <mergeCell ref="B16:H16"/>
    <mergeCell ref="A43:C43"/>
    <mergeCell ref="B22:H22"/>
    <mergeCell ref="A26:H26"/>
    <mergeCell ref="A44:C44"/>
    <mergeCell ref="B18:H18"/>
    <mergeCell ref="B21:H21"/>
    <mergeCell ref="B39:H39"/>
    <mergeCell ref="A42:H42"/>
    <mergeCell ref="E47:G47"/>
    <mergeCell ref="A32:H32"/>
    <mergeCell ref="E43:G43"/>
    <mergeCell ref="A1:H1"/>
    <mergeCell ref="C12:H12"/>
    <mergeCell ref="B20:H20"/>
    <mergeCell ref="B37:H37"/>
    <mergeCell ref="C11:H11"/>
    <mergeCell ref="B36:H36"/>
    <mergeCell ref="C7:H7"/>
    <mergeCell ref="A2:H2"/>
    <mergeCell ref="C10:H10"/>
    <mergeCell ref="A15:H15"/>
    <mergeCell ref="A46:C46"/>
    <mergeCell ref="C9:H9"/>
    <mergeCell ref="B30:H30"/>
    <mergeCell ref="B33:H33"/>
    <mergeCell ref="E46:G46"/>
  </mergeCells>
  <pageMargins left="0.25" right="0.25" top="0.45" bottom="0.45" header="0.2" footer="0.2"/>
  <pageSetup fitToHeight="0" orientation="portrait"/>
  <headerFooter>
    <oddFooter>&amp;C&amp;8 &amp;K5E6C75Pakistan AI Policy Monitor | &amp;P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Read Me</vt:lpstr>
      <vt:lpstr>Evidence Register</vt:lpstr>
      <vt:lpstr>Coverage &amp; Gaps</vt:lpstr>
      <vt:lpstr>Exclusions</vt:lpstr>
      <vt:lpstr>Briefing Units</vt:lpstr>
      <vt:lpstr>Sources</vt:lpstr>
      <vt:lpstr>Watchlist</vt:lpstr>
      <vt:lpstr>File Inventory</vt:lpstr>
      <vt:lpstr>Methodology</vt:lpstr>
      <vt:lpstr>'Briefing Units'!Print_Area</vt:lpstr>
      <vt:lpstr>'Coverage &amp; Gaps'!Print_Area</vt:lpstr>
      <vt:lpstr>'Evidence Register'!Print_Area</vt:lpstr>
      <vt:lpstr>Exclusions!Print_Area</vt:lpstr>
      <vt:lpstr>'File Inventory'!Print_Area</vt:lpstr>
      <vt:lpstr>Methodology!Print_Area</vt:lpstr>
      <vt:lpstr>'Read Me'!Print_Area</vt:lpstr>
      <vt:lpstr>Sources!Print_Area</vt:lpstr>
      <vt:lpstr>Watchlist!Print_Area</vt:lpstr>
      <vt:lpstr>'Briefing Units'!Print_Titles</vt:lpstr>
      <vt:lpstr>'Coverage &amp; Gaps'!Print_Titles</vt:lpstr>
      <vt:lpstr>'Evidence Register'!Print_Titles</vt:lpstr>
      <vt:lpstr>Exclusions!Print_Titles</vt:lpstr>
      <vt:lpstr>'File Inventory'!Print_Titles</vt:lpstr>
      <vt:lpstr>Methodology!Print_Titles</vt:lpstr>
      <vt:lpstr>'Read Me'!Print_Titles</vt:lpstr>
      <vt:lpstr>Sources!Print_Titles</vt:lpstr>
      <vt:lpstr>Watchlist!Print_Titles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Pakistan AI Policy Monitor: Evidence Register and Coverage Log</dc:title>
  <dc:subject>Audited 15-day monitor of Pakistan AI policy, digital infrastructure, procurement, and related governance developments</dc:subject>
  <dc:creator>Muhammad Umar Zafar</dc:creator>
  <cp:keywords>Pakistan; AI policy; digital infrastructure; evidence register; procurement</cp:keywords>
  <dc:description>Formula-driven audit workbook over the verified event, source, coverage, exclusion, watchlist, and provenance registers.</dc:description>
  <cp:lastModifiedBy>Muhammad Umar Zafar</cp:lastModifiedBy>
  <dcterms:created xsi:type="dcterms:W3CDTF">2026-09-03T19:46:14Z</dcterms:created>
  <dcterms:modified xsi:type="dcterms:W3CDTF">2026-09-03T19:49:20Z</dcterms:modified>
</cp:coreProperties>
</file>